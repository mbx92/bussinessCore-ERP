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0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bx/Documents/"/>
    </mc:Choice>
  </mc:AlternateContent>
  <xr:revisionPtr revIDLastSave="0" documentId="8_{5802BBCC-EC97-6549-BC95-1F7D1049C092}" xr6:coauthVersionLast="47" xr6:coauthVersionMax="47" xr10:uidLastSave="{00000000-0000-0000-0000-000000000000}"/>
  <bookViews>
    <workbookView xWindow="0" yWindow="0" windowWidth="28800" windowHeight="18000" activeTab="3" xr2:uid="{00000000-000D-0000-FFFF-FFFF00000000}"/>
  </bookViews>
  <sheets>
    <sheet name="Pricing" sheetId="1" r:id="rId1"/>
    <sheet name="Purchase" sheetId="2" r:id="rId2"/>
    <sheet name="Pricelist" sheetId="3" r:id="rId3"/>
    <sheet name="Accounting" sheetId="4" r:id="rId4"/>
  </sheets>
  <definedNames>
    <definedName name="_xlnm.Print_Area" localSheetId="1">Purchase!$A$1:$G$24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5" i="4" l="1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2" i="4"/>
  <c r="L42" i="4" s="1"/>
  <c r="K43" i="4"/>
  <c r="L43" i="4" s="1"/>
  <c r="K44" i="4"/>
  <c r="K45" i="4"/>
  <c r="K46" i="4"/>
  <c r="L46" i="4" s="1"/>
  <c r="K47" i="4"/>
  <c r="L47" i="4" s="1"/>
  <c r="K48" i="4"/>
  <c r="L48" i="4" s="1"/>
  <c r="K49" i="4"/>
  <c r="L49" i="4" s="1"/>
  <c r="K50" i="4"/>
  <c r="L50" i="4" s="1"/>
  <c r="K51" i="4"/>
  <c r="L51" i="4" s="1"/>
  <c r="K52" i="4"/>
  <c r="L52" i="4" s="1"/>
  <c r="K4" i="4"/>
  <c r="E41" i="4"/>
  <c r="H41" i="4"/>
  <c r="K41" i="4" s="1"/>
  <c r="L41" i="4" s="1"/>
  <c r="D52" i="4"/>
  <c r="D51" i="4"/>
  <c r="I51" i="4" s="1"/>
  <c r="D50" i="4"/>
  <c r="F50" i="4" s="1"/>
  <c r="G50" i="4" s="1"/>
  <c r="D49" i="4"/>
  <c r="F49" i="4" s="1"/>
  <c r="G49" i="4" s="1"/>
  <c r="D48" i="4"/>
  <c r="D47" i="4"/>
  <c r="F47" i="4" s="1"/>
  <c r="G47" i="4" s="1"/>
  <c r="D46" i="4"/>
  <c r="I46" i="4"/>
  <c r="C45" i="4"/>
  <c r="D45" i="4" s="1"/>
  <c r="C44" i="4"/>
  <c r="D44" i="4" s="1"/>
  <c r="D43" i="4"/>
  <c r="F43" i="4" s="1"/>
  <c r="G43" i="4" s="1"/>
  <c r="I43" i="4"/>
  <c r="D42" i="4"/>
  <c r="C39" i="4"/>
  <c r="C38" i="4"/>
  <c r="C36" i="4"/>
  <c r="C35" i="4"/>
  <c r="D35" i="4"/>
  <c r="D36" i="4"/>
  <c r="D38" i="4"/>
  <c r="D39" i="4"/>
  <c r="D40" i="4"/>
  <c r="D21" i="4"/>
  <c r="D31" i="4"/>
  <c r="I31" i="4" s="1"/>
  <c r="D32" i="4"/>
  <c r="C7" i="4"/>
  <c r="C8" i="4"/>
  <c r="C9" i="4"/>
  <c r="C11" i="4"/>
  <c r="C12" i="4"/>
  <c r="C13" i="4"/>
  <c r="C14" i="4"/>
  <c r="C15" i="4"/>
  <c r="C19" i="4"/>
  <c r="C21" i="4"/>
  <c r="C23" i="4"/>
  <c r="C24" i="4"/>
  <c r="I49" i="4"/>
  <c r="I48" i="4"/>
  <c r="I47" i="4"/>
  <c r="I52" i="4"/>
  <c r="E43" i="2"/>
  <c r="F43" i="2"/>
  <c r="G43" i="2" s="1"/>
  <c r="E44" i="2"/>
  <c r="F44" i="2"/>
  <c r="G44" i="2" s="1"/>
  <c r="F29" i="2"/>
  <c r="G29" i="2" s="1"/>
  <c r="F30" i="2"/>
  <c r="G30" i="2" s="1"/>
  <c r="F31" i="2"/>
  <c r="G31" i="2" s="1"/>
  <c r="F32" i="2"/>
  <c r="G32" i="2" s="1"/>
  <c r="F33" i="2"/>
  <c r="G33" i="2" s="1"/>
  <c r="F34" i="2"/>
  <c r="G34" i="2" s="1"/>
  <c r="F35" i="2"/>
  <c r="G35" i="2" s="1"/>
  <c r="F36" i="2"/>
  <c r="G36" i="2" s="1"/>
  <c r="F37" i="2"/>
  <c r="G37" i="2" s="1"/>
  <c r="F38" i="2"/>
  <c r="G38" i="2" s="1"/>
  <c r="F39" i="2"/>
  <c r="G39" i="2" s="1"/>
  <c r="F40" i="2"/>
  <c r="G40" i="2" s="1"/>
  <c r="F41" i="2"/>
  <c r="G41" i="2" s="1"/>
  <c r="F42" i="2"/>
  <c r="G42" i="2" s="1"/>
  <c r="E37" i="2"/>
  <c r="E29" i="2"/>
  <c r="E30" i="2"/>
  <c r="E31" i="2"/>
  <c r="E32" i="2"/>
  <c r="E33" i="2"/>
  <c r="E34" i="2"/>
  <c r="E35" i="2"/>
  <c r="E36" i="2"/>
  <c r="E38" i="2"/>
  <c r="E39" i="2"/>
  <c r="E40" i="2"/>
  <c r="E41" i="2"/>
  <c r="E42" i="2"/>
  <c r="H76" i="1"/>
  <c r="H77" i="1"/>
  <c r="H78" i="1"/>
  <c r="H79" i="1"/>
  <c r="H80" i="1"/>
  <c r="H81" i="1"/>
  <c r="H75" i="1"/>
  <c r="H71" i="1"/>
  <c r="H72" i="1"/>
  <c r="H70" i="1"/>
  <c r="J70" i="1" s="1"/>
  <c r="F155" i="1"/>
  <c r="H155" i="1"/>
  <c r="J155" i="1"/>
  <c r="H163" i="1"/>
  <c r="H161" i="1"/>
  <c r="H162" i="1"/>
  <c r="H164" i="1"/>
  <c r="H160" i="1"/>
  <c r="F164" i="1"/>
  <c r="F163" i="1"/>
  <c r="F162" i="1"/>
  <c r="F161" i="1"/>
  <c r="F160" i="1"/>
  <c r="H183" i="1"/>
  <c r="J183" i="1" s="1"/>
  <c r="H184" i="1"/>
  <c r="H185" i="1"/>
  <c r="J185" i="1"/>
  <c r="H186" i="1"/>
  <c r="J186" i="1"/>
  <c r="K186" i="1" s="1"/>
  <c r="N186" i="1"/>
  <c r="O186" i="1" s="1"/>
  <c r="H187" i="1"/>
  <c r="J187" i="1"/>
  <c r="H188" i="1"/>
  <c r="C37" i="4" s="1"/>
  <c r="J188" i="1"/>
  <c r="D37" i="4" s="1"/>
  <c r="K188" i="1"/>
  <c r="N188" i="1"/>
  <c r="O188" i="1"/>
  <c r="H189" i="1"/>
  <c r="H190" i="1"/>
  <c r="J190" i="1"/>
  <c r="N190" i="1"/>
  <c r="K190" i="1"/>
  <c r="H191" i="1"/>
  <c r="J191" i="1"/>
  <c r="K191" i="1" s="1"/>
  <c r="N191" i="1"/>
  <c r="O191" i="1" s="1"/>
  <c r="H192" i="1"/>
  <c r="J192" i="1"/>
  <c r="H193" i="1"/>
  <c r="J193" i="1" s="1"/>
  <c r="H196" i="1"/>
  <c r="C33" i="4" s="1"/>
  <c r="J196" i="1"/>
  <c r="N196" i="1"/>
  <c r="O196" i="1"/>
  <c r="H197" i="1"/>
  <c r="J197" i="1" s="1"/>
  <c r="H198" i="1"/>
  <c r="J198" i="1" s="1"/>
  <c r="H199" i="1"/>
  <c r="C34" i="4" s="1"/>
  <c r="J199" i="1"/>
  <c r="N199" i="1"/>
  <c r="O199" i="1"/>
  <c r="H200" i="1"/>
  <c r="J200" i="1"/>
  <c r="H201" i="1"/>
  <c r="J201" i="1"/>
  <c r="H202" i="1"/>
  <c r="J202" i="1"/>
  <c r="K202" i="1"/>
  <c r="N202" i="1"/>
  <c r="O202" i="1"/>
  <c r="H203" i="1"/>
  <c r="J203" i="1"/>
  <c r="K203" i="1"/>
  <c r="H204" i="1"/>
  <c r="J204" i="1"/>
  <c r="K204" i="1"/>
  <c r="N204" i="1"/>
  <c r="O204" i="1"/>
  <c r="H205" i="1"/>
  <c r="J205" i="1"/>
  <c r="K205" i="1"/>
  <c r="N205" i="1"/>
  <c r="O205" i="1"/>
  <c r="H206" i="1"/>
  <c r="J206" i="1"/>
  <c r="N206" i="1"/>
  <c r="K206" i="1"/>
  <c r="H207" i="1"/>
  <c r="J207" i="1"/>
  <c r="K207" i="1"/>
  <c r="N207" i="1"/>
  <c r="O207" i="1"/>
  <c r="H208" i="1"/>
  <c r="J208" i="1"/>
  <c r="H209" i="1"/>
  <c r="J209" i="1"/>
  <c r="K209" i="1"/>
  <c r="N209" i="1"/>
  <c r="H210" i="1"/>
  <c r="J210" i="1"/>
  <c r="K210" i="1"/>
  <c r="N210" i="1"/>
  <c r="O210" i="1"/>
  <c r="H211" i="1"/>
  <c r="J211" i="1"/>
  <c r="K211" i="1"/>
  <c r="H212" i="1"/>
  <c r="J212" i="1"/>
  <c r="K212" i="1"/>
  <c r="N212" i="1"/>
  <c r="O212" i="1"/>
  <c r="H213" i="1"/>
  <c r="J213" i="1"/>
  <c r="K213" i="1"/>
  <c r="N213" i="1"/>
  <c r="O213" i="1"/>
  <c r="H214" i="1"/>
  <c r="J214" i="1"/>
  <c r="N214" i="1"/>
  <c r="K214" i="1"/>
  <c r="H215" i="1"/>
  <c r="J215" i="1"/>
  <c r="K215" i="1"/>
  <c r="N215" i="1"/>
  <c r="O215" i="1"/>
  <c r="H216" i="1"/>
  <c r="J216" i="1"/>
  <c r="H217" i="1"/>
  <c r="J217" i="1"/>
  <c r="K217" i="1"/>
  <c r="N217" i="1"/>
  <c r="H218" i="1"/>
  <c r="C40" i="4" s="1"/>
  <c r="J218" i="1"/>
  <c r="K218" i="1"/>
  <c r="N218" i="1"/>
  <c r="O218" i="1"/>
  <c r="H219" i="1"/>
  <c r="J219" i="1"/>
  <c r="K219" i="1"/>
  <c r="H220" i="1"/>
  <c r="J220" i="1"/>
  <c r="K220" i="1"/>
  <c r="N220" i="1"/>
  <c r="O220" i="1"/>
  <c r="H221" i="1"/>
  <c r="J221" i="1"/>
  <c r="K221" i="1"/>
  <c r="N221" i="1"/>
  <c r="O221" i="1"/>
  <c r="H222" i="1"/>
  <c r="J222" i="1"/>
  <c r="N222" i="1"/>
  <c r="K222" i="1"/>
  <c r="H223" i="1"/>
  <c r="J223" i="1"/>
  <c r="K223" i="1"/>
  <c r="N223" i="1"/>
  <c r="O223" i="1"/>
  <c r="H224" i="1"/>
  <c r="J224" i="1"/>
  <c r="H225" i="1"/>
  <c r="J225" i="1"/>
  <c r="K225" i="1"/>
  <c r="N225" i="1"/>
  <c r="H226" i="1"/>
  <c r="J226" i="1"/>
  <c r="K226" i="1"/>
  <c r="N226" i="1"/>
  <c r="O226" i="1"/>
  <c r="H227" i="1"/>
  <c r="J227" i="1"/>
  <c r="K227" i="1"/>
  <c r="H228" i="1"/>
  <c r="J228" i="1"/>
  <c r="K228" i="1"/>
  <c r="N228" i="1"/>
  <c r="O228" i="1"/>
  <c r="H229" i="1"/>
  <c r="J229" i="1"/>
  <c r="K229" i="1"/>
  <c r="N229" i="1"/>
  <c r="O229" i="1"/>
  <c r="H230" i="1"/>
  <c r="J230" i="1"/>
  <c r="N230" i="1"/>
  <c r="K230" i="1"/>
  <c r="H231" i="1"/>
  <c r="J231" i="1"/>
  <c r="K231" i="1"/>
  <c r="N231" i="1"/>
  <c r="H232" i="1"/>
  <c r="J232" i="1"/>
  <c r="H233" i="1"/>
  <c r="J233" i="1"/>
  <c r="H234" i="1"/>
  <c r="J234" i="1"/>
  <c r="K234" i="1"/>
  <c r="N234" i="1"/>
  <c r="O234" i="1"/>
  <c r="H235" i="1"/>
  <c r="J235" i="1"/>
  <c r="K235" i="1"/>
  <c r="H238" i="1"/>
  <c r="J238" i="1"/>
  <c r="N238" i="1"/>
  <c r="K238" i="1"/>
  <c r="H239" i="1"/>
  <c r="J239" i="1"/>
  <c r="K239" i="1"/>
  <c r="N239" i="1"/>
  <c r="O239" i="1"/>
  <c r="H240" i="1"/>
  <c r="J240" i="1"/>
  <c r="H241" i="1"/>
  <c r="J241" i="1"/>
  <c r="K241" i="1"/>
  <c r="N241" i="1"/>
  <c r="H242" i="1"/>
  <c r="J242" i="1"/>
  <c r="K242" i="1"/>
  <c r="N242" i="1"/>
  <c r="O242" i="1"/>
  <c r="H243" i="1"/>
  <c r="J243" i="1"/>
  <c r="K243" i="1"/>
  <c r="H244" i="1"/>
  <c r="J244" i="1"/>
  <c r="K244" i="1"/>
  <c r="N244" i="1"/>
  <c r="O244" i="1"/>
  <c r="H245" i="1"/>
  <c r="J245" i="1"/>
  <c r="K245" i="1"/>
  <c r="N245" i="1"/>
  <c r="O245" i="1"/>
  <c r="H246" i="1"/>
  <c r="J246" i="1"/>
  <c r="N246" i="1"/>
  <c r="K246" i="1"/>
  <c r="H247" i="1"/>
  <c r="J247" i="1"/>
  <c r="K247" i="1"/>
  <c r="N247" i="1"/>
  <c r="O247" i="1"/>
  <c r="H248" i="1"/>
  <c r="J248" i="1"/>
  <c r="H249" i="1"/>
  <c r="J249" i="1"/>
  <c r="K249" i="1"/>
  <c r="N249" i="1"/>
  <c r="O249" i="1" s="1"/>
  <c r="H250" i="1"/>
  <c r="J250" i="1"/>
  <c r="K250" i="1"/>
  <c r="N250" i="1"/>
  <c r="O250" i="1"/>
  <c r="H251" i="1"/>
  <c r="J251" i="1"/>
  <c r="K251" i="1"/>
  <c r="H252" i="1"/>
  <c r="J252" i="1"/>
  <c r="K252" i="1"/>
  <c r="N252" i="1"/>
  <c r="O252" i="1"/>
  <c r="H253" i="1"/>
  <c r="J253" i="1"/>
  <c r="K253" i="1"/>
  <c r="N253" i="1"/>
  <c r="O253" i="1"/>
  <c r="H254" i="1"/>
  <c r="J254" i="1"/>
  <c r="N254" i="1"/>
  <c r="K254" i="1"/>
  <c r="H255" i="1"/>
  <c r="J255" i="1"/>
  <c r="K255" i="1"/>
  <c r="N255" i="1"/>
  <c r="O255" i="1"/>
  <c r="H256" i="1"/>
  <c r="J256" i="1"/>
  <c r="H257" i="1"/>
  <c r="J257" i="1"/>
  <c r="K257" i="1"/>
  <c r="N257" i="1"/>
  <c r="H258" i="1"/>
  <c r="J258" i="1"/>
  <c r="K258" i="1"/>
  <c r="N258" i="1"/>
  <c r="O258" i="1"/>
  <c r="H259" i="1"/>
  <c r="J259" i="1"/>
  <c r="K259" i="1"/>
  <c r="H260" i="1"/>
  <c r="J260" i="1"/>
  <c r="K260" i="1"/>
  <c r="N260" i="1"/>
  <c r="O260" i="1"/>
  <c r="H261" i="1"/>
  <c r="J261" i="1"/>
  <c r="K261" i="1"/>
  <c r="N261" i="1"/>
  <c r="O261" i="1"/>
  <c r="H262" i="1"/>
  <c r="J262" i="1"/>
  <c r="N262" i="1"/>
  <c r="K262" i="1"/>
  <c r="H263" i="1"/>
  <c r="J263" i="1"/>
  <c r="K263" i="1"/>
  <c r="N263" i="1"/>
  <c r="O263" i="1"/>
  <c r="H264" i="1"/>
  <c r="J264" i="1"/>
  <c r="H265" i="1"/>
  <c r="J265" i="1"/>
  <c r="K265" i="1"/>
  <c r="N265" i="1"/>
  <c r="H266" i="1"/>
  <c r="J266" i="1"/>
  <c r="K266" i="1"/>
  <c r="N266" i="1"/>
  <c r="O266" i="1"/>
  <c r="H267" i="1"/>
  <c r="J267" i="1"/>
  <c r="K267" i="1" s="1"/>
  <c r="H268" i="1"/>
  <c r="J268" i="1"/>
  <c r="K268" i="1" s="1"/>
  <c r="N268" i="1"/>
  <c r="O268" i="1"/>
  <c r="H269" i="1"/>
  <c r="J269" i="1"/>
  <c r="K269" i="1"/>
  <c r="N269" i="1"/>
  <c r="O269" i="1"/>
  <c r="H270" i="1"/>
  <c r="J270" i="1"/>
  <c r="N270" i="1"/>
  <c r="K270" i="1"/>
  <c r="H271" i="1"/>
  <c r="H272" i="1"/>
  <c r="J272" i="1"/>
  <c r="H273" i="1"/>
  <c r="J273" i="1" s="1"/>
  <c r="H274" i="1"/>
  <c r="J274" i="1"/>
  <c r="K274" i="1" s="1"/>
  <c r="N274" i="1"/>
  <c r="O274" i="1" s="1"/>
  <c r="H275" i="1"/>
  <c r="J275" i="1" s="1"/>
  <c r="H276" i="1"/>
  <c r="J276" i="1"/>
  <c r="K276" i="1" s="1"/>
  <c r="N276" i="1"/>
  <c r="O276" i="1" s="1"/>
  <c r="H277" i="1"/>
  <c r="J277" i="1" s="1"/>
  <c r="H278" i="1"/>
  <c r="J278" i="1"/>
  <c r="N278" i="1" s="1"/>
  <c r="O278" i="1" s="1"/>
  <c r="K278" i="1"/>
  <c r="H279" i="1"/>
  <c r="J279" i="1"/>
  <c r="K279" i="1" s="1"/>
  <c r="N279" i="1"/>
  <c r="O279" i="1" s="1"/>
  <c r="H280" i="1"/>
  <c r="J280" i="1" s="1"/>
  <c r="H281" i="1"/>
  <c r="J281" i="1" s="1"/>
  <c r="H14" i="1"/>
  <c r="H134" i="1"/>
  <c r="J134" i="1"/>
  <c r="H130" i="1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9" i="3"/>
  <c r="D20" i="3"/>
  <c r="D21" i="3"/>
  <c r="D23" i="3"/>
  <c r="D24" i="3"/>
  <c r="D4" i="3"/>
  <c r="H175" i="1"/>
  <c r="J175" i="1"/>
  <c r="H176" i="1"/>
  <c r="H177" i="1"/>
  <c r="H178" i="1"/>
  <c r="H179" i="1"/>
  <c r="C31" i="4" s="1"/>
  <c r="H180" i="1"/>
  <c r="C32" i="4" s="1"/>
  <c r="J180" i="1"/>
  <c r="H174" i="1"/>
  <c r="H156" i="1"/>
  <c r="H157" i="1"/>
  <c r="J157" i="1"/>
  <c r="H158" i="1"/>
  <c r="H159" i="1"/>
  <c r="H151" i="1"/>
  <c r="J151" i="1" s="1"/>
  <c r="H152" i="1"/>
  <c r="H150" i="1"/>
  <c r="J150" i="1"/>
  <c r="J179" i="1"/>
  <c r="J178" i="1"/>
  <c r="J177" i="1"/>
  <c r="N177" i="1" s="1"/>
  <c r="K177" i="1"/>
  <c r="J173" i="1"/>
  <c r="J172" i="1"/>
  <c r="J171" i="1"/>
  <c r="J170" i="1"/>
  <c r="J169" i="1"/>
  <c r="K169" i="1" s="1"/>
  <c r="N169" i="1"/>
  <c r="O169" i="1" s="1"/>
  <c r="J168" i="1"/>
  <c r="K168" i="1" s="1"/>
  <c r="N168" i="1"/>
  <c r="O168" i="1" s="1"/>
  <c r="J167" i="1"/>
  <c r="J166" i="1"/>
  <c r="J159" i="1"/>
  <c r="J158" i="1"/>
  <c r="K158" i="1" s="1"/>
  <c r="N158" i="1"/>
  <c r="O158" i="1" s="1"/>
  <c r="J156" i="1"/>
  <c r="J152" i="1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4" i="2"/>
  <c r="F5" i="2"/>
  <c r="G5" i="2" s="1"/>
  <c r="F6" i="2"/>
  <c r="F7" i="2"/>
  <c r="G7" i="2" s="1"/>
  <c r="F8" i="2"/>
  <c r="G8" i="2" s="1"/>
  <c r="F9" i="2"/>
  <c r="G9" i="2" s="1"/>
  <c r="F10" i="2"/>
  <c r="G10" i="2" s="1"/>
  <c r="F11" i="2"/>
  <c r="G11" i="2" s="1"/>
  <c r="F12" i="2"/>
  <c r="G12" i="2" s="1"/>
  <c r="F13" i="2"/>
  <c r="G13" i="2" s="1"/>
  <c r="F14" i="2"/>
  <c r="G14" i="2" s="1"/>
  <c r="F15" i="2"/>
  <c r="G15" i="2" s="1"/>
  <c r="F16" i="2"/>
  <c r="G16" i="2" s="1"/>
  <c r="F17" i="2"/>
  <c r="G17" i="2" s="1"/>
  <c r="F18" i="2"/>
  <c r="G18" i="2" s="1"/>
  <c r="F19" i="2"/>
  <c r="G19" i="2" s="1"/>
  <c r="F20" i="2"/>
  <c r="G20" i="2" s="1"/>
  <c r="F21" i="2"/>
  <c r="G21" i="2" s="1"/>
  <c r="F22" i="2"/>
  <c r="G22" i="2" s="1"/>
  <c r="F23" i="2"/>
  <c r="G23" i="2" s="1"/>
  <c r="F24" i="2"/>
  <c r="G24" i="2" s="1"/>
  <c r="F4" i="2"/>
  <c r="G4" i="2" s="1"/>
  <c r="N102" i="2"/>
  <c r="H145" i="1"/>
  <c r="J145" i="1"/>
  <c r="J147" i="1"/>
  <c r="K147" i="1" s="1"/>
  <c r="H119" i="1"/>
  <c r="J119" i="1" s="1"/>
  <c r="H120" i="1"/>
  <c r="H121" i="1"/>
  <c r="J121" i="1" s="1"/>
  <c r="H122" i="1"/>
  <c r="H123" i="1"/>
  <c r="J123" i="1"/>
  <c r="H124" i="1"/>
  <c r="H125" i="1"/>
  <c r="H128" i="1"/>
  <c r="J128" i="1"/>
  <c r="K128" i="1"/>
  <c r="H129" i="1"/>
  <c r="J129" i="1"/>
  <c r="N129" i="1" s="1"/>
  <c r="K129" i="1"/>
  <c r="J130" i="1"/>
  <c r="D19" i="4" s="1"/>
  <c r="I19" i="4" s="1"/>
  <c r="H131" i="1"/>
  <c r="J131" i="1" s="1"/>
  <c r="H132" i="1"/>
  <c r="H133" i="1"/>
  <c r="C20" i="4" s="1"/>
  <c r="J133" i="1"/>
  <c r="H135" i="1"/>
  <c r="J135" i="1"/>
  <c r="N135" i="1" s="1"/>
  <c r="K135" i="1"/>
  <c r="H136" i="1"/>
  <c r="J136" i="1"/>
  <c r="H137" i="1"/>
  <c r="J137" i="1"/>
  <c r="N137" i="1" s="1"/>
  <c r="K137" i="1"/>
  <c r="H138" i="1"/>
  <c r="J138" i="1"/>
  <c r="H139" i="1"/>
  <c r="J139" i="1"/>
  <c r="H140" i="1"/>
  <c r="H141" i="1"/>
  <c r="J141" i="1"/>
  <c r="H142" i="1"/>
  <c r="J142" i="1"/>
  <c r="H143" i="1"/>
  <c r="J143" i="1"/>
  <c r="K143" i="1" s="1"/>
  <c r="H144" i="1"/>
  <c r="C22" i="4" s="1"/>
  <c r="J144" i="1"/>
  <c r="N144" i="1"/>
  <c r="O144" i="1" s="1"/>
  <c r="J42" i="1"/>
  <c r="H50" i="1"/>
  <c r="J50" i="1"/>
  <c r="H51" i="1"/>
  <c r="J51" i="1"/>
  <c r="K51" i="1" s="1"/>
  <c r="N51" i="1"/>
  <c r="O51" i="1"/>
  <c r="H52" i="1"/>
  <c r="J52" i="1"/>
  <c r="H49" i="1"/>
  <c r="H105" i="1"/>
  <c r="C16" i="4" s="1"/>
  <c r="J105" i="1"/>
  <c r="H106" i="1"/>
  <c r="H107" i="1"/>
  <c r="J107" i="1"/>
  <c r="K107" i="1" s="1"/>
  <c r="N107" i="1"/>
  <c r="O107" i="1" s="1"/>
  <c r="H104" i="1"/>
  <c r="H115" i="1"/>
  <c r="J115" i="1"/>
  <c r="H116" i="1"/>
  <c r="H114" i="1"/>
  <c r="J114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3" i="1"/>
  <c r="O44" i="1"/>
  <c r="O45" i="1"/>
  <c r="O46" i="1"/>
  <c r="O47" i="1"/>
  <c r="O48" i="1"/>
  <c r="O54" i="1"/>
  <c r="O55" i="1"/>
  <c r="O68" i="1"/>
  <c r="O69" i="1"/>
  <c r="O73" i="1"/>
  <c r="O74" i="1"/>
  <c r="O82" i="1"/>
  <c r="O83" i="1"/>
  <c r="O89" i="1"/>
  <c r="O90" i="1"/>
  <c r="O102" i="1"/>
  <c r="O103" i="1"/>
  <c r="H111" i="1"/>
  <c r="C17" i="4" s="1"/>
  <c r="J111" i="1"/>
  <c r="N111" i="1"/>
  <c r="H110" i="1"/>
  <c r="J110" i="1"/>
  <c r="K110" i="1" s="1"/>
  <c r="N110" i="1"/>
  <c r="H60" i="1"/>
  <c r="J60" i="1" s="1"/>
  <c r="H61" i="1"/>
  <c r="J61" i="1"/>
  <c r="N61" i="1" s="1"/>
  <c r="K61" i="1"/>
  <c r="H62" i="1"/>
  <c r="J62" i="1"/>
  <c r="D13" i="4" s="1"/>
  <c r="H63" i="1"/>
  <c r="J63" i="1"/>
  <c r="H64" i="1"/>
  <c r="J64" i="1" s="1"/>
  <c r="H65" i="1"/>
  <c r="J65" i="1" s="1"/>
  <c r="H66" i="1"/>
  <c r="J66" i="1"/>
  <c r="H67" i="1"/>
  <c r="J67" i="1" s="1"/>
  <c r="H57" i="1"/>
  <c r="J57" i="1" s="1"/>
  <c r="K57" i="1" s="1"/>
  <c r="H58" i="1"/>
  <c r="H59" i="1"/>
  <c r="J59" i="1"/>
  <c r="K59" i="1" s="1"/>
  <c r="N59" i="1"/>
  <c r="O59" i="1"/>
  <c r="H56" i="1"/>
  <c r="C10" i="4" s="1"/>
  <c r="J56" i="1"/>
  <c r="K56" i="1"/>
  <c r="H92" i="1"/>
  <c r="J92" i="1" s="1"/>
  <c r="H93" i="1"/>
  <c r="J93" i="1"/>
  <c r="H94" i="1"/>
  <c r="J94" i="1"/>
  <c r="H95" i="1"/>
  <c r="J95" i="1" s="1"/>
  <c r="H96" i="1"/>
  <c r="J96" i="1"/>
  <c r="H97" i="1"/>
  <c r="J97" i="1"/>
  <c r="K97" i="1" s="1"/>
  <c r="N97" i="1"/>
  <c r="H98" i="1"/>
  <c r="J98" i="1" s="1"/>
  <c r="H99" i="1"/>
  <c r="J99" i="1" s="1"/>
  <c r="H100" i="1"/>
  <c r="H101" i="1"/>
  <c r="J101" i="1"/>
  <c r="H91" i="1"/>
  <c r="J91" i="1" s="1"/>
  <c r="J106" i="1"/>
  <c r="K106" i="1" s="1"/>
  <c r="N106" i="1"/>
  <c r="O106" i="1"/>
  <c r="J104" i="1"/>
  <c r="N104" i="1"/>
  <c r="O104" i="1"/>
  <c r="H85" i="1"/>
  <c r="J85" i="1" s="1"/>
  <c r="H86" i="1"/>
  <c r="J86" i="1" s="1"/>
  <c r="H87" i="1"/>
  <c r="J87" i="1" s="1"/>
  <c r="H88" i="1"/>
  <c r="J88" i="1" s="1"/>
  <c r="H84" i="1"/>
  <c r="J84" i="1" s="1"/>
  <c r="J53" i="1"/>
  <c r="H11" i="1"/>
  <c r="H12" i="1"/>
  <c r="J12" i="1"/>
  <c r="H13" i="1"/>
  <c r="J13" i="1" s="1"/>
  <c r="H15" i="1"/>
  <c r="J15" i="1"/>
  <c r="H16" i="1"/>
  <c r="J16" i="1" s="1"/>
  <c r="H4" i="1"/>
  <c r="H5" i="1"/>
  <c r="H6" i="1"/>
  <c r="J6" i="1" s="1"/>
  <c r="H7" i="1"/>
  <c r="J7" i="1"/>
  <c r="H8" i="1"/>
  <c r="H9" i="1"/>
  <c r="J9" i="1" s="1"/>
  <c r="H10" i="1"/>
  <c r="J10" i="1" s="1"/>
  <c r="H3" i="1"/>
  <c r="J3" i="1"/>
  <c r="O209" i="1"/>
  <c r="O257" i="1"/>
  <c r="O238" i="1"/>
  <c r="O265" i="1"/>
  <c r="O241" i="1"/>
  <c r="O270" i="1"/>
  <c r="O206" i="1"/>
  <c r="O217" i="1"/>
  <c r="O225" i="1"/>
  <c r="K248" i="1"/>
  <c r="N248" i="1"/>
  <c r="O248" i="1"/>
  <c r="K256" i="1"/>
  <c r="N256" i="1"/>
  <c r="O256" i="1" s="1"/>
  <c r="K272" i="1"/>
  <c r="N272" i="1"/>
  <c r="O272" i="1"/>
  <c r="O214" i="1"/>
  <c r="O254" i="1"/>
  <c r="K224" i="1"/>
  <c r="N224" i="1"/>
  <c r="K264" i="1"/>
  <c r="N264" i="1"/>
  <c r="O262" i="1"/>
  <c r="K232" i="1"/>
  <c r="N232" i="1"/>
  <c r="O230" i="1"/>
  <c r="K240" i="1"/>
  <c r="N240" i="1"/>
  <c r="O240" i="1" s="1"/>
  <c r="K208" i="1"/>
  <c r="N208" i="1"/>
  <c r="O208" i="1"/>
  <c r="O246" i="1"/>
  <c r="K216" i="1"/>
  <c r="N216" i="1"/>
  <c r="O216" i="1" s="1"/>
  <c r="O222" i="1"/>
  <c r="O232" i="1"/>
  <c r="O224" i="1"/>
  <c r="N267" i="1"/>
  <c r="O267" i="1" s="1"/>
  <c r="N259" i="1"/>
  <c r="O259" i="1" s="1"/>
  <c r="N251" i="1"/>
  <c r="O251" i="1" s="1"/>
  <c r="N243" i="1"/>
  <c r="O243" i="1"/>
  <c r="N235" i="1"/>
  <c r="O235" i="1" s="1"/>
  <c r="N227" i="1"/>
  <c r="O227" i="1" s="1"/>
  <c r="N219" i="1"/>
  <c r="O219" i="1" s="1"/>
  <c r="N211" i="1"/>
  <c r="O211" i="1" s="1"/>
  <c r="N203" i="1"/>
  <c r="O203" i="1"/>
  <c r="O264" i="1"/>
  <c r="J58" i="1"/>
  <c r="D12" i="4" s="1"/>
  <c r="J8" i="1"/>
  <c r="N8" i="1" s="1"/>
  <c r="K8" i="1"/>
  <c r="K105" i="1"/>
  <c r="O97" i="1"/>
  <c r="N143" i="1"/>
  <c r="J49" i="1"/>
  <c r="D8" i="4" s="1"/>
  <c r="N128" i="1"/>
  <c r="O128" i="1" s="1"/>
  <c r="N114" i="1"/>
  <c r="O114" i="1"/>
  <c r="K114" i="1"/>
  <c r="J146" i="1"/>
  <c r="O190" i="1" l="1"/>
  <c r="N187" i="1"/>
  <c r="K187" i="1"/>
  <c r="D34" i="4"/>
  <c r="K199" i="1"/>
  <c r="N200" i="1"/>
  <c r="O200" i="1" s="1"/>
  <c r="K200" i="1"/>
  <c r="N201" i="1"/>
  <c r="O201" i="1" s="1"/>
  <c r="K201" i="1"/>
  <c r="K233" i="1"/>
  <c r="N233" i="1"/>
  <c r="O233" i="1" s="1"/>
  <c r="K156" i="1"/>
  <c r="N156" i="1"/>
  <c r="O156" i="1" s="1"/>
  <c r="K133" i="1"/>
  <c r="N133" i="1"/>
  <c r="D20" i="4"/>
  <c r="I20" i="4" s="1"/>
  <c r="J20" i="4" s="1"/>
  <c r="L20" i="4" s="1"/>
  <c r="K144" i="1"/>
  <c r="D22" i="4"/>
  <c r="K42" i="1"/>
  <c r="D7" i="4"/>
  <c r="N42" i="1"/>
  <c r="O42" i="1" s="1"/>
  <c r="N105" i="1"/>
  <c r="D16" i="4"/>
  <c r="K111" i="1"/>
  <c r="D17" i="4"/>
  <c r="N66" i="1"/>
  <c r="K66" i="1"/>
  <c r="N95" i="1"/>
  <c r="K95" i="1"/>
  <c r="C18" i="4"/>
  <c r="J100" i="1"/>
  <c r="N101" i="1"/>
  <c r="K101" i="1"/>
  <c r="K104" i="1"/>
  <c r="D15" i="4"/>
  <c r="J11" i="1"/>
  <c r="C6" i="4"/>
  <c r="N12" i="1"/>
  <c r="K12" i="1"/>
  <c r="N13" i="1"/>
  <c r="O13" i="1" s="1"/>
  <c r="K13" i="1"/>
  <c r="J5" i="1"/>
  <c r="C5" i="4"/>
  <c r="N146" i="1"/>
  <c r="O146" i="1" s="1"/>
  <c r="K146" i="1"/>
  <c r="D23" i="4"/>
  <c r="I23" i="4" s="1"/>
  <c r="L44" i="4"/>
  <c r="L45" i="4"/>
  <c r="J19" i="4"/>
  <c r="L19" i="4" s="1"/>
  <c r="J23" i="4"/>
  <c r="L23" i="4" s="1"/>
  <c r="O231" i="1"/>
  <c r="O143" i="1"/>
  <c r="O111" i="1"/>
  <c r="O95" i="1"/>
  <c r="O133" i="1"/>
  <c r="O110" i="1"/>
  <c r="C29" i="4"/>
  <c r="J164" i="1"/>
  <c r="J184" i="1"/>
  <c r="N185" i="1"/>
  <c r="O185" i="1" s="1"/>
  <c r="K185" i="1"/>
  <c r="J189" i="1"/>
  <c r="K192" i="1"/>
  <c r="N192" i="1"/>
  <c r="O192" i="1" s="1"/>
  <c r="K193" i="1"/>
  <c r="N193" i="1"/>
  <c r="O193" i="1" s="1"/>
  <c r="K196" i="1"/>
  <c r="D33" i="4"/>
  <c r="K197" i="1"/>
  <c r="N197" i="1"/>
  <c r="O197" i="1" s="1"/>
  <c r="K198" i="1"/>
  <c r="N198" i="1"/>
  <c r="O198" i="1" s="1"/>
  <c r="J271" i="1"/>
  <c r="K170" i="1"/>
  <c r="N170" i="1"/>
  <c r="O170" i="1" s="1"/>
  <c r="K152" i="1"/>
  <c r="N152" i="1"/>
  <c r="O152" i="1" s="1"/>
  <c r="K115" i="1"/>
  <c r="N115" i="1"/>
  <c r="O115" i="1" s="1"/>
  <c r="N60" i="1"/>
  <c r="O60" i="1" s="1"/>
  <c r="K60" i="1"/>
  <c r="N62" i="1"/>
  <c r="O62" i="1" s="1"/>
  <c r="K62" i="1"/>
  <c r="K63" i="1"/>
  <c r="N63" i="1"/>
  <c r="O63" i="1" s="1"/>
  <c r="N64" i="1"/>
  <c r="O64" i="1" s="1"/>
  <c r="K64" i="1"/>
  <c r="N57" i="1"/>
  <c r="O57" i="1" s="1"/>
  <c r="D11" i="4"/>
  <c r="N56" i="1"/>
  <c r="O56" i="1" s="1"/>
  <c r="D10" i="4"/>
  <c r="N92" i="1"/>
  <c r="O92" i="1" s="1"/>
  <c r="K92" i="1"/>
  <c r="K93" i="1"/>
  <c r="N93" i="1"/>
  <c r="O93" i="1" s="1"/>
  <c r="N94" i="1"/>
  <c r="O94" i="1" s="1"/>
  <c r="K94" i="1"/>
  <c r="K96" i="1"/>
  <c r="N96" i="1"/>
  <c r="O96" i="1" s="1"/>
  <c r="K99" i="1"/>
  <c r="N99" i="1"/>
  <c r="O99" i="1" s="1"/>
  <c r="N91" i="1"/>
  <c r="O91" i="1" s="1"/>
  <c r="K91" i="1"/>
  <c r="N85" i="1"/>
  <c r="O85" i="1" s="1"/>
  <c r="K85" i="1"/>
  <c r="K87" i="1"/>
  <c r="N87" i="1"/>
  <c r="O87" i="1" s="1"/>
  <c r="N88" i="1"/>
  <c r="O88" i="1" s="1"/>
  <c r="D14" i="4"/>
  <c r="K88" i="1"/>
  <c r="N84" i="1"/>
  <c r="O84" i="1" s="1"/>
  <c r="K84" i="1"/>
  <c r="K53" i="1"/>
  <c r="N53" i="1"/>
  <c r="O53" i="1" s="1"/>
  <c r="D9" i="4"/>
  <c r="D6" i="4"/>
  <c r="K11" i="1"/>
  <c r="N11" i="1"/>
  <c r="O11" i="1" s="1"/>
  <c r="C4" i="4"/>
  <c r="J4" i="1"/>
  <c r="D5" i="4"/>
  <c r="K5" i="1"/>
  <c r="N5" i="1"/>
  <c r="O5" i="1" s="1"/>
  <c r="N6" i="1"/>
  <c r="O6" i="1" s="1"/>
  <c r="K6" i="1"/>
  <c r="N10" i="1"/>
  <c r="O10" i="1" s="1"/>
  <c r="K10" i="1"/>
  <c r="O187" i="1"/>
  <c r="I42" i="4"/>
  <c r="F42" i="4"/>
  <c r="G42" i="4" s="1"/>
  <c r="I34" i="4"/>
  <c r="J34" i="4" s="1"/>
  <c r="L34" i="4" s="1"/>
  <c r="F34" i="4"/>
  <c r="G34" i="4" s="1"/>
  <c r="I35" i="4"/>
  <c r="J35" i="4" s="1"/>
  <c r="L35" i="4" s="1"/>
  <c r="E35" i="4"/>
  <c r="F35" i="4" s="1"/>
  <c r="G35" i="4" s="1"/>
  <c r="I36" i="4"/>
  <c r="J36" i="4" s="1"/>
  <c r="L36" i="4" s="1"/>
  <c r="E36" i="4"/>
  <c r="F36" i="4" s="1"/>
  <c r="G36" i="4" s="1"/>
  <c r="F37" i="4"/>
  <c r="G37" i="4" s="1"/>
  <c r="I37" i="4"/>
  <c r="J37" i="4" s="1"/>
  <c r="L37" i="4" s="1"/>
  <c r="I38" i="4"/>
  <c r="J38" i="4" s="1"/>
  <c r="L38" i="4" s="1"/>
  <c r="F38" i="4"/>
  <c r="G38" i="4" s="1"/>
  <c r="I39" i="4"/>
  <c r="J39" i="4" s="1"/>
  <c r="L39" i="4" s="1"/>
  <c r="F39" i="4"/>
  <c r="G39" i="4" s="1"/>
  <c r="I40" i="4"/>
  <c r="J40" i="4" s="1"/>
  <c r="L40" i="4" s="1"/>
  <c r="E40" i="4"/>
  <c r="F40" i="4" s="1"/>
  <c r="G40" i="4" s="1"/>
  <c r="F6" i="4"/>
  <c r="I6" i="4"/>
  <c r="F7" i="4"/>
  <c r="G7" i="4" s="1"/>
  <c r="I7" i="4"/>
  <c r="J7" i="4" s="1"/>
  <c r="L7" i="4" s="1"/>
  <c r="F8" i="4"/>
  <c r="G8" i="4" s="1"/>
  <c r="I8" i="4"/>
  <c r="J8" i="4" s="1"/>
  <c r="L8" i="4" s="1"/>
  <c r="F12" i="4"/>
  <c r="G12" i="4" s="1"/>
  <c r="I12" i="4"/>
  <c r="J12" i="4" s="1"/>
  <c r="L12" i="4" s="1"/>
  <c r="I13" i="4"/>
  <c r="J13" i="4" s="1"/>
  <c r="L13" i="4" s="1"/>
  <c r="F13" i="4"/>
  <c r="G13" i="4" s="1"/>
  <c r="I14" i="4"/>
  <c r="J14" i="4" s="1"/>
  <c r="L14" i="4" s="1"/>
  <c r="F14" i="4"/>
  <c r="G14" i="4" s="1"/>
  <c r="F15" i="4"/>
  <c r="G15" i="4" s="1"/>
  <c r="I15" i="4"/>
  <c r="J15" i="4" s="1"/>
  <c r="L15" i="4" s="1"/>
  <c r="F21" i="4"/>
  <c r="G21" i="4" s="1"/>
  <c r="I21" i="4"/>
  <c r="J21" i="4" s="1"/>
  <c r="L21" i="4" s="1"/>
  <c r="I32" i="4"/>
  <c r="J32" i="4" s="1"/>
  <c r="L32" i="4" s="1"/>
  <c r="F32" i="4"/>
  <c r="G32" i="4" s="1"/>
  <c r="J76" i="1"/>
  <c r="J77" i="1"/>
  <c r="J78" i="1"/>
  <c r="J79" i="1"/>
  <c r="J80" i="1"/>
  <c r="J81" i="1"/>
  <c r="J75" i="1"/>
  <c r="J71" i="1"/>
  <c r="J72" i="1"/>
  <c r="N70" i="1"/>
  <c r="O70" i="1" s="1"/>
  <c r="K70" i="1"/>
  <c r="N155" i="1"/>
  <c r="O155" i="1" s="1"/>
  <c r="K155" i="1"/>
  <c r="J163" i="1"/>
  <c r="C28" i="4"/>
  <c r="J161" i="1"/>
  <c r="C26" i="4"/>
  <c r="J162" i="1"/>
  <c r="C27" i="4"/>
  <c r="C25" i="4"/>
  <c r="J160" i="1"/>
  <c r="N183" i="1"/>
  <c r="O183" i="1" s="1"/>
  <c r="K183" i="1"/>
  <c r="K273" i="1"/>
  <c r="N273" i="1"/>
  <c r="O273" i="1" s="1"/>
  <c r="N275" i="1"/>
  <c r="O275" i="1" s="1"/>
  <c r="K275" i="1"/>
  <c r="K277" i="1"/>
  <c r="N277" i="1"/>
  <c r="O277" i="1" s="1"/>
  <c r="N280" i="1"/>
  <c r="O280" i="1" s="1"/>
  <c r="K280" i="1"/>
  <c r="K281" i="1"/>
  <c r="N281" i="1"/>
  <c r="O281" i="1" s="1"/>
  <c r="J14" i="1"/>
  <c r="N134" i="1"/>
  <c r="O134" i="1" s="1"/>
  <c r="K134" i="1"/>
  <c r="N175" i="1"/>
  <c r="O175" i="1" s="1"/>
  <c r="K175" i="1"/>
  <c r="J176" i="1"/>
  <c r="C30" i="4"/>
  <c r="N180" i="1"/>
  <c r="O180" i="1" s="1"/>
  <c r="K180" i="1"/>
  <c r="J174" i="1"/>
  <c r="K157" i="1"/>
  <c r="N157" i="1"/>
  <c r="O157" i="1" s="1"/>
  <c r="K151" i="1"/>
  <c r="N151" i="1"/>
  <c r="O151" i="1" s="1"/>
  <c r="N150" i="1"/>
  <c r="O150" i="1" s="1"/>
  <c r="K150" i="1"/>
  <c r="N179" i="1"/>
  <c r="O179" i="1" s="1"/>
  <c r="K179" i="1"/>
  <c r="N178" i="1"/>
  <c r="O178" i="1" s="1"/>
  <c r="K178" i="1"/>
  <c r="K173" i="1"/>
  <c r="N173" i="1"/>
  <c r="O173" i="1" s="1"/>
  <c r="N172" i="1"/>
  <c r="O172" i="1" s="1"/>
  <c r="K172" i="1"/>
  <c r="N171" i="1"/>
  <c r="O171" i="1" s="1"/>
  <c r="K171" i="1"/>
  <c r="N167" i="1"/>
  <c r="O167" i="1" s="1"/>
  <c r="K167" i="1"/>
  <c r="K166" i="1"/>
  <c r="N166" i="1"/>
  <c r="O166" i="1" s="1"/>
  <c r="K159" i="1"/>
  <c r="N159" i="1"/>
  <c r="O159" i="1" s="1"/>
  <c r="H24" i="2"/>
  <c r="G6" i="2"/>
  <c r="F2" i="2" s="1"/>
  <c r="N145" i="1"/>
  <c r="O145" i="1" s="1"/>
  <c r="K145" i="1"/>
  <c r="D24" i="4"/>
  <c r="N147" i="1"/>
  <c r="O147" i="1" s="1"/>
  <c r="K119" i="1"/>
  <c r="N119" i="1"/>
  <c r="O119" i="1" s="1"/>
  <c r="J120" i="1"/>
  <c r="N121" i="1"/>
  <c r="O121" i="1" s="1"/>
  <c r="K121" i="1"/>
  <c r="J122" i="1"/>
  <c r="K123" i="1"/>
  <c r="N123" i="1"/>
  <c r="O123" i="1" s="1"/>
  <c r="J124" i="1"/>
  <c r="J125" i="1"/>
  <c r="N130" i="1"/>
  <c r="O130" i="1" s="1"/>
  <c r="K130" i="1"/>
  <c r="K131" i="1"/>
  <c r="N131" i="1"/>
  <c r="O131" i="1" s="1"/>
  <c r="J132" i="1"/>
  <c r="N136" i="1"/>
  <c r="O136" i="1" s="1"/>
  <c r="K136" i="1"/>
  <c r="N138" i="1"/>
  <c r="O138" i="1" s="1"/>
  <c r="K138" i="1"/>
  <c r="K139" i="1"/>
  <c r="N139" i="1"/>
  <c r="O139" i="1" s="1"/>
  <c r="J140" i="1"/>
  <c r="N141" i="1"/>
  <c r="O141" i="1" s="1"/>
  <c r="K141" i="1"/>
  <c r="K142" i="1"/>
  <c r="N142" i="1"/>
  <c r="O142" i="1" s="1"/>
  <c r="N50" i="1"/>
  <c r="O50" i="1" s="1"/>
  <c r="K50" i="1"/>
  <c r="K52" i="1"/>
  <c r="N52" i="1"/>
  <c r="O52" i="1" s="1"/>
  <c r="J116" i="1"/>
  <c r="N65" i="1"/>
  <c r="O65" i="1" s="1"/>
  <c r="K65" i="1"/>
  <c r="N67" i="1"/>
  <c r="O67" i="1" s="1"/>
  <c r="K67" i="1"/>
  <c r="N98" i="1"/>
  <c r="O98" i="1" s="1"/>
  <c r="K98" i="1"/>
  <c r="K86" i="1"/>
  <c r="N86" i="1"/>
  <c r="O86" i="1" s="1"/>
  <c r="K15" i="1"/>
  <c r="N15" i="1"/>
  <c r="O15" i="1" s="1"/>
  <c r="K16" i="1"/>
  <c r="N16" i="1"/>
  <c r="O16" i="1" s="1"/>
  <c r="K7" i="1"/>
  <c r="N7" i="1"/>
  <c r="O7" i="1" s="1"/>
  <c r="N9" i="1"/>
  <c r="O9" i="1" s="1"/>
  <c r="K9" i="1"/>
  <c r="K3" i="1"/>
  <c r="N3" i="1"/>
  <c r="O3" i="1" s="1"/>
  <c r="K58" i="1"/>
  <c r="N58" i="1"/>
  <c r="O58" i="1" s="1"/>
  <c r="K49" i="1"/>
  <c r="N49" i="1"/>
  <c r="O49" i="1" s="1"/>
  <c r="O177" i="1"/>
  <c r="J31" i="4"/>
  <c r="L31" i="4" s="1"/>
  <c r="O129" i="1"/>
  <c r="O135" i="1"/>
  <c r="O137" i="1"/>
  <c r="O105" i="1"/>
  <c r="O61" i="1"/>
  <c r="O66" i="1"/>
  <c r="O101" i="1"/>
  <c r="O12" i="1"/>
  <c r="O8" i="1"/>
  <c r="F27" i="2"/>
  <c r="F52" i="4"/>
  <c r="G52" i="4" s="1"/>
  <c r="F46" i="4"/>
  <c r="G46" i="4" s="1"/>
  <c r="F48" i="4"/>
  <c r="G48" i="4" s="1"/>
  <c r="F44" i="4"/>
  <c r="G44" i="4" s="1"/>
  <c r="I44" i="4"/>
  <c r="I45" i="4"/>
  <c r="F45" i="4"/>
  <c r="G45" i="4" s="1"/>
  <c r="F23" i="4"/>
  <c r="G23" i="4" s="1"/>
  <c r="I50" i="4"/>
  <c r="F31" i="4"/>
  <c r="G31" i="4" s="1"/>
  <c r="F51" i="4"/>
  <c r="G51" i="4" s="1"/>
  <c r="F20" i="4"/>
  <c r="G20" i="4" s="1"/>
  <c r="F19" i="4"/>
  <c r="G19" i="4" s="1"/>
  <c r="D18" i="4" l="1"/>
  <c r="K100" i="1"/>
  <c r="N100" i="1"/>
  <c r="O100" i="1" s="1"/>
  <c r="G6" i="4"/>
  <c r="J6" i="4"/>
  <c r="L6" i="4" s="1"/>
  <c r="I22" i="4"/>
  <c r="J22" i="4" s="1"/>
  <c r="L22" i="4" s="1"/>
  <c r="F22" i="4"/>
  <c r="G22" i="4" s="1"/>
  <c r="F16" i="4"/>
  <c r="G16" i="4" s="1"/>
  <c r="I16" i="4"/>
  <c r="J16" i="4" s="1"/>
  <c r="L16" i="4" s="1"/>
  <c r="F17" i="4"/>
  <c r="G17" i="4" s="1"/>
  <c r="I17" i="4"/>
  <c r="J17" i="4" s="1"/>
  <c r="L17" i="4" s="1"/>
  <c r="I33" i="4"/>
  <c r="J33" i="4" s="1"/>
  <c r="L33" i="4" s="1"/>
  <c r="F33" i="4"/>
  <c r="G33" i="4" s="1"/>
  <c r="I11" i="4"/>
  <c r="J11" i="4" s="1"/>
  <c r="L11" i="4" s="1"/>
  <c r="F11" i="4"/>
  <c r="G11" i="4" s="1"/>
  <c r="F10" i="4"/>
  <c r="G10" i="4" s="1"/>
  <c r="I10" i="4"/>
  <c r="J10" i="4" s="1"/>
  <c r="L10" i="4" s="1"/>
  <c r="N164" i="1"/>
  <c r="O164" i="1" s="1"/>
  <c r="D29" i="4"/>
  <c r="K184" i="1"/>
  <c r="N184" i="1"/>
  <c r="O184" i="1" s="1"/>
  <c r="N189" i="1"/>
  <c r="O189" i="1" s="1"/>
  <c r="K189" i="1"/>
  <c r="N271" i="1"/>
  <c r="O271" i="1" s="1"/>
  <c r="K271" i="1"/>
  <c r="N4" i="1"/>
  <c r="O4" i="1" s="1"/>
  <c r="D4" i="4"/>
  <c r="K4" i="1"/>
  <c r="I9" i="4"/>
  <c r="J9" i="4" s="1"/>
  <c r="L9" i="4" s="1"/>
  <c r="F9" i="4"/>
  <c r="G9" i="4" s="1"/>
  <c r="I5" i="4"/>
  <c r="J5" i="4" s="1"/>
  <c r="L5" i="4" s="1"/>
  <c r="F5" i="4"/>
  <c r="G5" i="4" s="1"/>
  <c r="K76" i="1"/>
  <c r="N76" i="1"/>
  <c r="O76" i="1" s="1"/>
  <c r="N77" i="1"/>
  <c r="O77" i="1" s="1"/>
  <c r="K77" i="1"/>
  <c r="K78" i="1"/>
  <c r="N78" i="1"/>
  <c r="O78" i="1" s="1"/>
  <c r="K79" i="1"/>
  <c r="N79" i="1"/>
  <c r="O79" i="1" s="1"/>
  <c r="K80" i="1"/>
  <c r="N80" i="1"/>
  <c r="O80" i="1" s="1"/>
  <c r="K81" i="1"/>
  <c r="N81" i="1"/>
  <c r="O81" i="1" s="1"/>
  <c r="N75" i="1"/>
  <c r="O75" i="1" s="1"/>
  <c r="K75" i="1"/>
  <c r="N71" i="1"/>
  <c r="O71" i="1" s="1"/>
  <c r="K71" i="1"/>
  <c r="K72" i="1"/>
  <c r="N72" i="1"/>
  <c r="O72" i="1" s="1"/>
  <c r="D28" i="4"/>
  <c r="N163" i="1"/>
  <c r="O163" i="1" s="1"/>
  <c r="K163" i="1"/>
  <c r="D26" i="4"/>
  <c r="K161" i="1"/>
  <c r="N161" i="1"/>
  <c r="O161" i="1" s="1"/>
  <c r="D27" i="4"/>
  <c r="K162" i="1"/>
  <c r="N162" i="1"/>
  <c r="O162" i="1" s="1"/>
  <c r="N160" i="1"/>
  <c r="O160" i="1" s="1"/>
  <c r="D25" i="4"/>
  <c r="K160" i="1"/>
  <c r="N14" i="1"/>
  <c r="O14" i="1" s="1"/>
  <c r="K14" i="1"/>
  <c r="D30" i="4"/>
  <c r="K176" i="1"/>
  <c r="N176" i="1"/>
  <c r="O176" i="1" s="1"/>
  <c r="K174" i="1"/>
  <c r="N174" i="1"/>
  <c r="O174" i="1" s="1"/>
  <c r="I24" i="4"/>
  <c r="J24" i="4" s="1"/>
  <c r="L24" i="4" s="1"/>
  <c r="F24" i="4"/>
  <c r="G24" i="4" s="1"/>
  <c r="N120" i="1"/>
  <c r="O120" i="1" s="1"/>
  <c r="K120" i="1"/>
  <c r="N122" i="1"/>
  <c r="O122" i="1" s="1"/>
  <c r="K122" i="1"/>
  <c r="K124" i="1"/>
  <c r="N124" i="1"/>
  <c r="O124" i="1" s="1"/>
  <c r="N125" i="1"/>
  <c r="O125" i="1" s="1"/>
  <c r="K125" i="1"/>
  <c r="K132" i="1"/>
  <c r="N132" i="1"/>
  <c r="O132" i="1" s="1"/>
  <c r="K140" i="1"/>
  <c r="N140" i="1"/>
  <c r="O140" i="1" s="1"/>
  <c r="K116" i="1"/>
  <c r="N116" i="1"/>
  <c r="O116" i="1" s="1"/>
  <c r="I18" i="4" l="1"/>
  <c r="J18" i="4" s="1"/>
  <c r="L18" i="4" s="1"/>
  <c r="F18" i="4"/>
  <c r="G18" i="4" s="1"/>
  <c r="F29" i="4"/>
  <c r="G29" i="4" s="1"/>
  <c r="I29" i="4"/>
  <c r="J29" i="4" s="1"/>
  <c r="L29" i="4" s="1"/>
  <c r="I4" i="4"/>
  <c r="J4" i="4" s="1"/>
  <c r="L4" i="4" s="1"/>
  <c r="F4" i="4"/>
  <c r="G4" i="4" s="1"/>
  <c r="F28" i="4"/>
  <c r="G28" i="4" s="1"/>
  <c r="I28" i="4"/>
  <c r="J28" i="4" s="1"/>
  <c r="L28" i="4" s="1"/>
  <c r="F26" i="4"/>
  <c r="G26" i="4" s="1"/>
  <c r="I26" i="4"/>
  <c r="J26" i="4" s="1"/>
  <c r="L26" i="4" s="1"/>
  <c r="F27" i="4"/>
  <c r="G27" i="4" s="1"/>
  <c r="I27" i="4"/>
  <c r="J27" i="4" s="1"/>
  <c r="L27" i="4" s="1"/>
  <c r="F25" i="4"/>
  <c r="G25" i="4" s="1"/>
  <c r="I25" i="4"/>
  <c r="J25" i="4" s="1"/>
  <c r="L25" i="4" s="1"/>
  <c r="F30" i="4"/>
  <c r="G30" i="4" s="1"/>
  <c r="I30" i="4"/>
  <c r="J30" i="4" s="1"/>
  <c r="L30" i="4" s="1"/>
  <c r="B1" i="4" l="1"/>
</calcChain>
</file>

<file path=xl/sharedStrings.xml><?xml version="1.0" encoding="utf-8"?>
<sst xmlns="http://schemas.openxmlformats.org/spreadsheetml/2006/main" count="978" uniqueCount="309">
  <si>
    <t>Satuan Jual</t>
  </si>
  <si>
    <t>Slop</t>
  </si>
  <si>
    <t>Harga Pokok</t>
  </si>
  <si>
    <t>MU</t>
  </si>
  <si>
    <t>Harga Jual</t>
  </si>
  <si>
    <t>Margin</t>
  </si>
  <si>
    <t>Pack</t>
  </si>
  <si>
    <t>Item</t>
  </si>
  <si>
    <t>Qty</t>
  </si>
  <si>
    <t>Price</t>
  </si>
  <si>
    <t>Subtotal</t>
  </si>
  <si>
    <t>No</t>
  </si>
  <si>
    <t>List Barang</t>
  </si>
  <si>
    <t>Harga</t>
  </si>
  <si>
    <t>Isi</t>
  </si>
  <si>
    <t>Cup Plastik</t>
  </si>
  <si>
    <t>Starindo 12</t>
  </si>
  <si>
    <t>dus</t>
  </si>
  <si>
    <t>Rp</t>
  </si>
  <si>
    <t>Starindo 14</t>
  </si>
  <si>
    <t>Starindo 16</t>
  </si>
  <si>
    <t>Hok 12</t>
  </si>
  <si>
    <t>Hok 14</t>
  </si>
  <si>
    <t>Hok 16</t>
  </si>
  <si>
    <t>Hok 18</t>
  </si>
  <si>
    <t>Hok 22</t>
  </si>
  <si>
    <t>Cup Euro motif</t>
  </si>
  <si>
    <t>cup puding starindo 60ml</t>
  </si>
  <si>
    <t>cup puding starindo 90ml</t>
  </si>
  <si>
    <t>cup merak 120ml</t>
  </si>
  <si>
    <t>Lid cup Datar</t>
  </si>
  <si>
    <t>Lid cup Cembung</t>
  </si>
  <si>
    <t>Box Sterofoam</t>
  </si>
  <si>
    <t>Box 60kg</t>
  </si>
  <si>
    <t>koli</t>
  </si>
  <si>
    <t>Box 75kg</t>
  </si>
  <si>
    <t>Box 35kg</t>
  </si>
  <si>
    <t>Box 30kg</t>
  </si>
  <si>
    <t>Box 10kg</t>
  </si>
  <si>
    <t>Box 5kg</t>
  </si>
  <si>
    <t>Box 2kg</t>
  </si>
  <si>
    <t>Box wawan kecil</t>
  </si>
  <si>
    <t>Pcs</t>
  </si>
  <si>
    <t>Box wawan besar</t>
  </si>
  <si>
    <t>Tf 2</t>
  </si>
  <si>
    <t>Bal</t>
  </si>
  <si>
    <t>Tf 3</t>
  </si>
  <si>
    <t>Tf burger</t>
  </si>
  <si>
    <t>slop</t>
  </si>
  <si>
    <t>Tgp 1</t>
  </si>
  <si>
    <t>Tgp 2</t>
  </si>
  <si>
    <t>Tgp 3</t>
  </si>
  <si>
    <t>Tgp 4</t>
  </si>
  <si>
    <t>Tgp 5</t>
  </si>
  <si>
    <t>Tgp 6</t>
  </si>
  <si>
    <t>Tgp 7</t>
  </si>
  <si>
    <t>Tali Rafia</t>
  </si>
  <si>
    <t>Rafia baja 1kg hitam</t>
  </si>
  <si>
    <t>Rafia baja 1/2kg Hitam</t>
  </si>
  <si>
    <t>Rafia baja 1/4kg Hitam</t>
  </si>
  <si>
    <t>Rafia baja 1kg warna</t>
  </si>
  <si>
    <t>Rafia baja 1/2kg Warna</t>
  </si>
  <si>
    <t>Rafia baja 1/4kg warna</t>
  </si>
  <si>
    <t>rafia baja 1kg natural</t>
  </si>
  <si>
    <t>Kertas Nasi</t>
  </si>
  <si>
    <t>Kertas nasi Gajah</t>
  </si>
  <si>
    <t>Karung</t>
  </si>
  <si>
    <t>Kertas nasi Merak</t>
  </si>
  <si>
    <t>ikat</t>
  </si>
  <si>
    <t>Kertas nasi Sayur</t>
  </si>
  <si>
    <t>Kertas nasi bulat sayur</t>
  </si>
  <si>
    <t>Kertas nasi bulat wp</t>
  </si>
  <si>
    <t>Thinwall</t>
  </si>
  <si>
    <t>Hiba Rec 500</t>
  </si>
  <si>
    <t>Hiba Rec 650</t>
  </si>
  <si>
    <t>Hiba Rec 750</t>
  </si>
  <si>
    <t>Hiba Rec 1000</t>
  </si>
  <si>
    <t>Hiba Sq 1000</t>
  </si>
  <si>
    <t>Hiba Sq 1500</t>
  </si>
  <si>
    <t>Hiba Sq 2000</t>
  </si>
  <si>
    <t>Hiba Sq 3000</t>
  </si>
  <si>
    <t>Cup saos 35ml</t>
  </si>
  <si>
    <t>Cup saos 25ml</t>
  </si>
  <si>
    <t>Cup saos 60ml</t>
  </si>
  <si>
    <t>Cup saos 100ml</t>
  </si>
  <si>
    <t>Lunchbox</t>
  </si>
  <si>
    <t>Lunchbox DPE M</t>
  </si>
  <si>
    <t>Lunch box DPE L</t>
  </si>
  <si>
    <t>Lunch box S</t>
  </si>
  <si>
    <t>Kotak nasi</t>
  </si>
  <si>
    <t>R3</t>
  </si>
  <si>
    <t>pack</t>
  </si>
  <si>
    <t>R5</t>
  </si>
  <si>
    <t>Nbk</t>
  </si>
  <si>
    <t>Nx</t>
  </si>
  <si>
    <t>R18</t>
  </si>
  <si>
    <t>R20</t>
  </si>
  <si>
    <t>R22</t>
  </si>
  <si>
    <t>Plastik Sampah</t>
  </si>
  <si>
    <t>50x60 Hitam</t>
  </si>
  <si>
    <t>karung</t>
  </si>
  <si>
    <t>60x80 Hitam</t>
  </si>
  <si>
    <t>90x100 Hitam</t>
  </si>
  <si>
    <t>90x120 Hitam</t>
  </si>
  <si>
    <t>100x120 Hitam</t>
  </si>
  <si>
    <t>Tissue</t>
  </si>
  <si>
    <t>Livi smart Handtowel</t>
  </si>
  <si>
    <t>Livi eco pop up</t>
  </si>
  <si>
    <t>Livi Dinner Napkin</t>
  </si>
  <si>
    <t>Livi Cocktail</t>
  </si>
  <si>
    <t>Paseo Elegan Kitchen</t>
  </si>
  <si>
    <t>Imperium napkin</t>
  </si>
  <si>
    <t>Nice 1000</t>
  </si>
  <si>
    <t>Montis</t>
  </si>
  <si>
    <t>Jolly Multifold</t>
  </si>
  <si>
    <t>Jolly Facial 250's</t>
  </si>
  <si>
    <t>Jolly pop up</t>
  </si>
  <si>
    <t>sendok garpu</t>
  </si>
  <si>
    <t>sendok ecosend putih</t>
  </si>
  <si>
    <t>garpu  putih</t>
  </si>
  <si>
    <t>sendok kayu</t>
  </si>
  <si>
    <t>garpu kayu</t>
  </si>
  <si>
    <t>sedotan</t>
  </si>
  <si>
    <t>sedotan bungkus</t>
  </si>
  <si>
    <t>sedotan tusuk cover plastik</t>
  </si>
  <si>
    <t>Total</t>
  </si>
  <si>
    <t>Date :</t>
  </si>
  <si>
    <t>Note</t>
  </si>
  <si>
    <t>10.5x14.5x7</t>
  </si>
  <si>
    <t>12.5x16x7</t>
  </si>
  <si>
    <t>12.5x19x6.5</t>
  </si>
  <si>
    <t>22x14x7</t>
  </si>
  <si>
    <t>18x18x7</t>
  </si>
  <si>
    <t>20x20x7</t>
  </si>
  <si>
    <t>22x22x7</t>
  </si>
  <si>
    <t>BALIAN TISSUE</t>
  </si>
  <si>
    <t>Balian Pop Up 150</t>
  </si>
  <si>
    <t>Balian Facial Tissue 250</t>
  </si>
  <si>
    <t>Balian Facial Tissue 200</t>
  </si>
  <si>
    <t>Pricelist</t>
  </si>
  <si>
    <t>Notes</t>
  </si>
  <si>
    <t>Harga Satuan</t>
  </si>
  <si>
    <t>Harga per pack</t>
  </si>
  <si>
    <t>Harga Jual Shopee Bali</t>
  </si>
  <si>
    <t>bowl 200</t>
  </si>
  <si>
    <t>bowl 300</t>
  </si>
  <si>
    <t>bowl 400</t>
  </si>
  <si>
    <t>bowl 450</t>
  </si>
  <si>
    <t>bowl 650</t>
  </si>
  <si>
    <t>round 300</t>
  </si>
  <si>
    <t>round 450</t>
  </si>
  <si>
    <t>Plastik Kresek</t>
  </si>
  <si>
    <t>Kresek 55 putih</t>
  </si>
  <si>
    <t>kresek Kilat 40 Putih</t>
  </si>
  <si>
    <t>Kresek kilat 40 Merah</t>
  </si>
  <si>
    <t>Kresek kilat 40 Hitam</t>
  </si>
  <si>
    <t>Kresek kilat 32 Putih</t>
  </si>
  <si>
    <t>Kresek 32 Lorek</t>
  </si>
  <si>
    <t>Kresek kilat 28 putih</t>
  </si>
  <si>
    <t>Kresek kilat 28 hitam</t>
  </si>
  <si>
    <t>Kresek kingkong 24 putih</t>
  </si>
  <si>
    <t>Kresek kilat 21 putih</t>
  </si>
  <si>
    <t>Kresek kilat 21 hitam</t>
  </si>
  <si>
    <t>Kresek kilat 15 putih</t>
  </si>
  <si>
    <t>Kresek kilat 15 hitam</t>
  </si>
  <si>
    <t>Kresek bening csp 15</t>
  </si>
  <si>
    <t>Kresek bening csp 24</t>
  </si>
  <si>
    <t>Kresek bening csp 28</t>
  </si>
  <si>
    <t>kresek los warna 15</t>
  </si>
  <si>
    <t>kresek los warna 24</t>
  </si>
  <si>
    <t>kantong gelas minuman single</t>
  </si>
  <si>
    <t>kantong gelas minuman double</t>
  </si>
  <si>
    <t>Subtotal Margin</t>
  </si>
  <si>
    <t>Stock In</t>
  </si>
  <si>
    <t>Paid|Delivered</t>
  </si>
  <si>
    <t>Cup Sealer</t>
  </si>
  <si>
    <t>sealer motif bening 1200</t>
  </si>
  <si>
    <t>sealer motif kartun 1200</t>
  </si>
  <si>
    <t>sealer motif buah 1200</t>
  </si>
  <si>
    <t>Plastik Kiloan</t>
  </si>
  <si>
    <t>Betul 1/4kg</t>
  </si>
  <si>
    <t>Betul 1/2kg</t>
  </si>
  <si>
    <t>Betul 1kg</t>
  </si>
  <si>
    <t>Betul 1 1/2kg</t>
  </si>
  <si>
    <t>Betul 2kg</t>
  </si>
  <si>
    <t>Rajawali 1/4kg</t>
  </si>
  <si>
    <t>bal</t>
  </si>
  <si>
    <t>Rajawali 1/2kg</t>
  </si>
  <si>
    <t>Rajawali 1kg</t>
  </si>
  <si>
    <t>Rajawali 1 1/2kg</t>
  </si>
  <si>
    <t>Rajawali 2kg</t>
  </si>
  <si>
    <t>Plastik PE Kiloan</t>
  </si>
  <si>
    <t>Jeruk 9x28</t>
  </si>
  <si>
    <t>Kg</t>
  </si>
  <si>
    <t>Jeruk 12x36</t>
  </si>
  <si>
    <t>Jeruk 13x36</t>
  </si>
  <si>
    <t>Jeruk 16x36</t>
  </si>
  <si>
    <t>Jeruk 20x35</t>
  </si>
  <si>
    <t>Plastik Laundry</t>
  </si>
  <si>
    <t>02x25 3kg</t>
  </si>
  <si>
    <t>02x30 5kg</t>
  </si>
  <si>
    <t>02x35 7kg</t>
  </si>
  <si>
    <t>02x40 10kg</t>
  </si>
  <si>
    <t>02x45 12kg</t>
  </si>
  <si>
    <t>02x50 15kg</t>
  </si>
  <si>
    <t>02x60 20kg</t>
  </si>
  <si>
    <t>Kemasan_makanan</t>
  </si>
  <si>
    <t>none</t>
  </si>
  <si>
    <t>bks per ikat</t>
  </si>
  <si>
    <t>pcs per pack</t>
  </si>
  <si>
    <t>pcs minimal</t>
  </si>
  <si>
    <t>pcs per slop</t>
  </si>
  <si>
    <t>Plastik klip</t>
  </si>
  <si>
    <t>3x5</t>
  </si>
  <si>
    <t>4x6</t>
  </si>
  <si>
    <t>5x8</t>
  </si>
  <si>
    <t>7x10</t>
  </si>
  <si>
    <t>8,7x13</t>
  </si>
  <si>
    <t>10x15</t>
  </si>
  <si>
    <t>11x17</t>
  </si>
  <si>
    <t>16x25</t>
  </si>
  <si>
    <t>20x30</t>
  </si>
  <si>
    <t>25x35</t>
  </si>
  <si>
    <t>30x40</t>
  </si>
  <si>
    <t>OPP LEM</t>
  </si>
  <si>
    <t>6x6</t>
  </si>
  <si>
    <t>6x7</t>
  </si>
  <si>
    <t>6x9</t>
  </si>
  <si>
    <t>7x7</t>
  </si>
  <si>
    <t>8x8</t>
  </si>
  <si>
    <t>8x10</t>
  </si>
  <si>
    <t>8x18</t>
  </si>
  <si>
    <t>8x20</t>
  </si>
  <si>
    <t>9x9</t>
  </si>
  <si>
    <t>9x10</t>
  </si>
  <si>
    <t>9x15</t>
  </si>
  <si>
    <t>10x10</t>
  </si>
  <si>
    <t>10,5x10,5</t>
  </si>
  <si>
    <t>10x24</t>
  </si>
  <si>
    <t>11x11</t>
  </si>
  <si>
    <t>11x20</t>
  </si>
  <si>
    <t>11x24</t>
  </si>
  <si>
    <t>12x12</t>
  </si>
  <si>
    <t>12x20</t>
  </si>
  <si>
    <t>12x24</t>
  </si>
  <si>
    <t>13x13</t>
  </si>
  <si>
    <t>13x24</t>
  </si>
  <si>
    <t>14x14</t>
  </si>
  <si>
    <t>14x24</t>
  </si>
  <si>
    <t>15x15</t>
  </si>
  <si>
    <t>15x24</t>
  </si>
  <si>
    <t>16x16</t>
  </si>
  <si>
    <t>16x20</t>
  </si>
  <si>
    <t>16x24</t>
  </si>
  <si>
    <t>18x25</t>
  </si>
  <si>
    <t>20x20</t>
  </si>
  <si>
    <t>23x35</t>
  </si>
  <si>
    <t>28x35</t>
  </si>
  <si>
    <t>30x37</t>
  </si>
  <si>
    <t>35x45</t>
  </si>
  <si>
    <t>OPP KACA</t>
  </si>
  <si>
    <t>KG</t>
  </si>
  <si>
    <t>6x10</t>
  </si>
  <si>
    <t>7x13</t>
  </si>
  <si>
    <t>7x15</t>
  </si>
  <si>
    <t>8x12</t>
  </si>
  <si>
    <t>8x13</t>
  </si>
  <si>
    <t>8x15</t>
  </si>
  <si>
    <t>8x17</t>
  </si>
  <si>
    <t>9x13</t>
  </si>
  <si>
    <t>9x17</t>
  </si>
  <si>
    <t>9x20</t>
  </si>
  <si>
    <t>10x13</t>
  </si>
  <si>
    <t>10x17</t>
  </si>
  <si>
    <t>10x20</t>
  </si>
  <si>
    <t>11x25</t>
  </si>
  <si>
    <t>12x25</t>
  </si>
  <si>
    <t>13x20</t>
  </si>
  <si>
    <t>13x25</t>
  </si>
  <si>
    <t>14x20</t>
  </si>
  <si>
    <t>14x25</t>
  </si>
  <si>
    <t>15x20</t>
  </si>
  <si>
    <t>15x25</t>
  </si>
  <si>
    <t>17x20</t>
  </si>
  <si>
    <t>17x22</t>
  </si>
  <si>
    <t>17x25</t>
  </si>
  <si>
    <t>18x20</t>
  </si>
  <si>
    <t>20x25</t>
  </si>
  <si>
    <t>20x35</t>
  </si>
  <si>
    <t>22x30</t>
  </si>
  <si>
    <t>25x30</t>
  </si>
  <si>
    <t>Plastik OPP Lem</t>
  </si>
  <si>
    <t>Plastik Sampah Hitam 90X100</t>
  </si>
  <si>
    <t>Plastik Sampah Hitam 60X80</t>
  </si>
  <si>
    <t>Paper  Cup 8 Oz</t>
  </si>
  <si>
    <t>Sendok Jerapah Putih</t>
  </si>
  <si>
    <t>Pipet Garis A3</t>
  </si>
  <si>
    <t>MIKA TX 1A</t>
  </si>
  <si>
    <t>MIKA TX 3C</t>
  </si>
  <si>
    <t>MIKA TX 4C</t>
  </si>
  <si>
    <t>MIKA TX 5C</t>
  </si>
  <si>
    <t>MIKA TX 7C</t>
  </si>
  <si>
    <t>Lunchbox Rakit Kraft Nesto M</t>
  </si>
  <si>
    <t>Potongan Ecommerce</t>
  </si>
  <si>
    <t>Margin Ecommerce</t>
  </si>
  <si>
    <t>Harga TOKO</t>
  </si>
  <si>
    <t>HARGA SHOPEE</t>
  </si>
  <si>
    <t>MARGIN SHOPEE</t>
  </si>
  <si>
    <t>TOTAL MARGIN SHOPEE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</si>
</sst>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_-;\-* #,##0_-;_-* &quot;-&quot;_-;_-@_-"/>
    <numFmt numFmtId="165" formatCode="_-* #,##0.00_-;\-* #,##0.00_-;_-* &quot;-&quot;??_-;_-@_-"/>
    <numFmt numFmtId="166" formatCode="_-* #,##0_-;\-* #,##0_-;_-* &quot;-&quot;??_-;_-@_-"/>
  </numFmts>
  <fonts count="12" x14ac:knownFonts="1">
    <font>
      <sz val="10"/>
      <color rgb="FF000000"/>
      <name val="Times New Roman"/>
      <charset val="204"/>
    </font>
    <font>
      <sz val="10"/>
      <color rgb="FF000000"/>
      <name val="Times New Roman"/>
      <family val="1"/>
    </font>
    <font>
      <sz val="11"/>
      <name val="Calibri Light"/>
      <family val="2"/>
    </font>
    <font>
      <sz val="10"/>
      <color rgb="FF000000"/>
      <name val="Calibri Light"/>
      <family val="2"/>
    </font>
    <font>
      <b/>
      <sz val="11"/>
      <name val="Calibri Light"/>
      <family val="2"/>
    </font>
    <font>
      <sz val="11"/>
      <color rgb="FF000000"/>
      <name val="Calibri Light"/>
      <family val="2"/>
    </font>
    <font>
      <b/>
      <sz val="10"/>
      <color rgb="FF000000"/>
      <name val="Calibri Light"/>
      <family val="2"/>
    </font>
    <font>
      <b/>
      <sz val="8"/>
      <color rgb="FF000000"/>
      <name val="Calibri Light"/>
      <family val="2"/>
    </font>
    <font>
      <b/>
      <sz val="10"/>
      <color theme="0"/>
      <name val="Calibri Light"/>
      <family val="2"/>
    </font>
    <font>
      <b/>
      <sz val="10"/>
      <color theme="6" tint="-0.499984740745262"/>
      <name val="Calibri Light"/>
      <family val="2"/>
    </font>
    <font>
      <b/>
      <sz val="22"/>
      <color rgb="FF000000"/>
      <name val="Calibri Light"/>
      <family val="2"/>
    </font>
    <font>
      <sz val="10"/>
      <color theme="0"/>
      <name val="Calibri Light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92D050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40">
    <xf numFmtId="0" fontId="0" fillId="0" borderId="0" xfId="0" applyAlignment="1">
      <alignment horizontal="left" vertical="top"/>
    </xf>
    <xf numFmtId="0" fontId="2" fillId="0" borderId="1" xfId="0" applyFont="1" applyBorder="1" applyAlignment="1">
      <alignment horizontal="center" vertical="top" wrapText="1"/>
    </xf>
    <xf numFmtId="0" fontId="3" fillId="0" borderId="0" xfId="0" applyFont="1" applyAlignment="1">
      <alignment horizontal="left" vertical="top"/>
    </xf>
    <xf numFmtId="166" fontId="3" fillId="0" borderId="0" xfId="1" applyNumberFormat="1" applyFont="1" applyAlignment="1">
      <alignment horizontal="left" vertical="top"/>
    </xf>
    <xf numFmtId="0" fontId="4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center" vertical="top" wrapText="1"/>
    </xf>
    <xf numFmtId="0" fontId="3" fillId="2" borderId="0" xfId="0" applyFont="1" applyFill="1" applyAlignment="1">
      <alignment horizontal="left" wrapText="1"/>
    </xf>
    <xf numFmtId="1" fontId="5" fillId="2" borderId="0" xfId="0" applyNumberFormat="1" applyFont="1" applyFill="1" applyAlignment="1">
      <alignment horizontal="center" vertical="top" shrinkToFit="1"/>
    </xf>
    <xf numFmtId="0" fontId="3" fillId="2" borderId="0" xfId="0" applyFont="1" applyFill="1" applyAlignment="1">
      <alignment horizontal="left" vertical="top"/>
    </xf>
    <xf numFmtId="0" fontId="3" fillId="0" borderId="4" xfId="0" applyFont="1" applyBorder="1" applyAlignment="1">
      <alignment horizontal="left" vertical="top"/>
    </xf>
    <xf numFmtId="2" fontId="3" fillId="0" borderId="4" xfId="0" applyNumberFormat="1" applyFont="1" applyBorder="1" applyAlignment="1">
      <alignment horizontal="left" vertical="top"/>
    </xf>
    <xf numFmtId="166" fontId="3" fillId="0" borderId="4" xfId="1" applyNumberFormat="1" applyFont="1" applyBorder="1" applyAlignment="1">
      <alignment horizontal="left" vertical="top"/>
    </xf>
    <xf numFmtId="166" fontId="3" fillId="0" borderId="4" xfId="0" applyNumberFormat="1" applyFont="1" applyBorder="1" applyAlignment="1">
      <alignment horizontal="left" vertical="top"/>
    </xf>
    <xf numFmtId="1" fontId="3" fillId="0" borderId="4" xfId="0" applyNumberFormat="1" applyFont="1" applyBorder="1" applyAlignment="1">
      <alignment horizontal="left" vertical="top"/>
    </xf>
    <xf numFmtId="0" fontId="4" fillId="0" borderId="1" xfId="0" applyFont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166" fontId="6" fillId="0" borderId="4" xfId="1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8" fillId="3" borderId="0" xfId="0" applyFont="1" applyFill="1" applyAlignment="1">
      <alignment horizontal="left" vertical="top"/>
    </xf>
    <xf numFmtId="166" fontId="9" fillId="4" borderId="0" xfId="1" applyNumberFormat="1" applyFont="1" applyFill="1" applyAlignment="1">
      <alignment horizontal="left" vertical="top"/>
    </xf>
    <xf numFmtId="0" fontId="6" fillId="0" borderId="4" xfId="0" applyFont="1" applyBorder="1" applyAlignment="1">
      <alignment horizontal="left" vertical="top"/>
    </xf>
    <xf numFmtId="0" fontId="6" fillId="2" borderId="4" xfId="0" applyFont="1" applyFill="1" applyBorder="1" applyAlignment="1">
      <alignment horizontal="left" vertical="top"/>
    </xf>
    <xf numFmtId="166" fontId="6" fillId="2" borderId="4" xfId="1" applyNumberFormat="1" applyFont="1" applyFill="1" applyBorder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3" fillId="2" borderId="4" xfId="0" applyFont="1" applyFill="1" applyBorder="1" applyAlignment="1">
      <alignment horizontal="right" vertical="top"/>
    </xf>
    <xf numFmtId="166" fontId="3" fillId="2" borderId="4" xfId="1" applyNumberFormat="1" applyFont="1" applyFill="1" applyBorder="1" applyAlignment="1">
      <alignment horizontal="left" vertical="top"/>
    </xf>
    <xf numFmtId="166" fontId="3" fillId="2" borderId="4" xfId="0" applyNumberFormat="1" applyFont="1" applyFill="1" applyBorder="1" applyAlignment="1">
      <alignment horizontal="left" vertical="top"/>
    </xf>
    <xf numFmtId="166" fontId="3" fillId="2" borderId="0" xfId="1" applyNumberFormat="1" applyFont="1" applyFill="1" applyAlignment="1">
      <alignment horizontal="left" vertical="top"/>
    </xf>
    <xf numFmtId="0" fontId="6" fillId="2" borderId="4" xfId="0" applyFont="1" applyFill="1" applyBorder="1" applyAlignment="1">
      <alignment horizontal="center" vertical="top"/>
    </xf>
    <xf numFmtId="0" fontId="3" fillId="2" borderId="4" xfId="0" applyFont="1" applyFill="1" applyBorder="1" applyAlignment="1">
      <alignment horizontal="center" vertical="top"/>
    </xf>
    <xf numFmtId="0" fontId="2" fillId="0" borderId="7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wrapText="1"/>
    </xf>
    <xf numFmtId="0" fontId="2" fillId="0" borderId="8" xfId="0" applyFont="1" applyBorder="1" applyAlignment="1">
      <alignment horizontal="center" vertical="top" wrapText="1"/>
    </xf>
    <xf numFmtId="1" fontId="3" fillId="0" borderId="10" xfId="0" applyNumberFormat="1" applyFont="1" applyBorder="1" applyAlignment="1">
      <alignment horizontal="left" vertical="top"/>
    </xf>
    <xf numFmtId="0" fontId="3" fillId="0" borderId="10" xfId="0" applyFont="1" applyBorder="1" applyAlignment="1">
      <alignment horizontal="left" vertical="top"/>
    </xf>
    <xf numFmtId="166" fontId="3" fillId="0" borderId="10" xfId="1" applyNumberFormat="1" applyFont="1" applyBorder="1" applyAlignment="1">
      <alignment horizontal="left" vertical="top"/>
    </xf>
    <xf numFmtId="166" fontId="3" fillId="0" borderId="10" xfId="0" applyNumberFormat="1" applyFont="1" applyBorder="1" applyAlignment="1">
      <alignment horizontal="left" vertical="top"/>
    </xf>
    <xf numFmtId="0" fontId="3" fillId="0" borderId="5" xfId="0" applyFont="1" applyBorder="1" applyAlignment="1">
      <alignment horizontal="left" vertical="top"/>
    </xf>
    <xf numFmtId="0" fontId="4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wrapText="1"/>
    </xf>
    <xf numFmtId="1" fontId="5" fillId="0" borderId="4" xfId="0" applyNumberFormat="1" applyFont="1" applyBorder="1" applyAlignment="1">
      <alignment horizontal="center" vertical="top" shrinkToFit="1"/>
    </xf>
    <xf numFmtId="0" fontId="3" fillId="0" borderId="6" xfId="0" applyFont="1" applyBorder="1" applyAlignment="1">
      <alignment horizontal="left" vertical="top"/>
    </xf>
    <xf numFmtId="166" fontId="3" fillId="0" borderId="6" xfId="1" applyNumberFormat="1" applyFont="1" applyBorder="1" applyAlignment="1">
      <alignment horizontal="left" vertical="top"/>
    </xf>
    <xf numFmtId="0" fontId="6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/>
    </xf>
    <xf numFmtId="0" fontId="2" fillId="0" borderId="4" xfId="0" applyFont="1" applyBorder="1" applyAlignment="1">
      <alignment horizontal="left" vertical="top" wrapText="1"/>
    </xf>
    <xf numFmtId="166" fontId="3" fillId="0" borderId="0" xfId="1" applyNumberFormat="1" applyFont="1" applyBorder="1" applyAlignment="1">
      <alignment horizontal="left" vertical="top"/>
    </xf>
    <xf numFmtId="0" fontId="3" fillId="2" borderId="4" xfId="0" applyFont="1" applyFill="1" applyBorder="1" applyAlignment="1">
      <alignment horizontal="left" vertical="top"/>
    </xf>
    <xf numFmtId="0" fontId="2" fillId="0" borderId="11" xfId="0" applyFont="1" applyBorder="1" applyAlignment="1">
      <alignment horizontal="center" vertical="top" wrapText="1"/>
    </xf>
    <xf numFmtId="0" fontId="6" fillId="2" borderId="0" xfId="0" applyFont="1" applyFill="1" applyAlignment="1">
      <alignment horizontal="left" vertical="top"/>
    </xf>
    <xf numFmtId="166" fontId="3" fillId="2" borderId="0" xfId="0" applyNumberFormat="1" applyFont="1" applyFill="1" applyAlignment="1">
      <alignment horizontal="left" vertical="top"/>
    </xf>
    <xf numFmtId="0" fontId="2" fillId="5" borderId="4" xfId="0" applyFont="1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left" vertical="top" wrapText="1"/>
    </xf>
    <xf numFmtId="14" fontId="3" fillId="2" borderId="0" xfId="0" applyNumberFormat="1" applyFont="1" applyFill="1" applyAlignment="1">
      <alignment horizontal="left" vertical="top"/>
    </xf>
    <xf numFmtId="0" fontId="11" fillId="6" borderId="0" xfId="0" applyFont="1" applyFill="1" applyAlignment="1">
      <alignment horizontal="left" vertical="top"/>
    </xf>
    <xf numFmtId="0" fontId="3" fillId="0" borderId="1" xfId="0" applyFont="1" applyBorder="1" applyAlignment="1">
      <alignment horizontal="left" vertical="center" wrapText="1"/>
    </xf>
    <xf numFmtId="0" fontId="3" fillId="2" borderId="4" xfId="1" applyNumberFormat="1" applyFont="1" applyFill="1" applyBorder="1" applyAlignment="1">
      <alignment horizontal="right" vertical="top"/>
    </xf>
    <xf numFmtId="0" fontId="3" fillId="0" borderId="5" xfId="0" applyFont="1" applyBorder="1" applyAlignment="1">
      <alignment horizontal="right" vertical="top"/>
    </xf>
    <xf numFmtId="166" fontId="6" fillId="0" borderId="4" xfId="1" applyNumberFormat="1" applyFont="1" applyBorder="1" applyAlignment="1">
      <alignment horizontal="left" vertical="top"/>
    </xf>
    <xf numFmtId="0" fontId="2" fillId="0" borderId="7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166" fontId="5" fillId="0" borderId="3" xfId="1" applyNumberFormat="1" applyFont="1" applyBorder="1" applyAlignment="1">
      <alignment horizontal="right" vertical="top" shrinkToFit="1"/>
    </xf>
    <xf numFmtId="166" fontId="5" fillId="0" borderId="9" xfId="1" applyNumberFormat="1" applyFont="1" applyBorder="1" applyAlignment="1">
      <alignment horizontal="right" vertical="top" shrinkToFit="1"/>
    </xf>
    <xf numFmtId="166" fontId="5" fillId="0" borderId="12" xfId="1" applyNumberFormat="1" applyFont="1" applyBorder="1" applyAlignment="1">
      <alignment horizontal="right" vertical="top" shrinkToFit="1"/>
    </xf>
    <xf numFmtId="166" fontId="5" fillId="0" borderId="4" xfId="1" applyNumberFormat="1" applyFont="1" applyBorder="1" applyAlignment="1">
      <alignment horizontal="right" vertical="top" shrinkToFit="1"/>
    </xf>
    <xf numFmtId="1" fontId="5" fillId="0" borderId="2" xfId="0" applyNumberFormat="1" applyFont="1" applyBorder="1" applyAlignment="1">
      <alignment horizontal="center" vertical="center" shrinkToFit="1"/>
    </xf>
    <xf numFmtId="1" fontId="5" fillId="0" borderId="8" xfId="0" applyNumberFormat="1" applyFont="1" applyBorder="1" applyAlignment="1">
      <alignment horizontal="center" vertical="center" shrinkToFit="1"/>
    </xf>
    <xf numFmtId="1" fontId="5" fillId="0" borderId="1" xfId="0" applyNumberFormat="1" applyFont="1" applyBorder="1" applyAlignment="1">
      <alignment horizontal="center" vertical="center" shrinkToFit="1"/>
    </xf>
    <xf numFmtId="1" fontId="5" fillId="0" borderId="7" xfId="0" applyNumberFormat="1" applyFont="1" applyBorder="1" applyAlignment="1">
      <alignment horizontal="center" vertical="center" shrinkToFit="1"/>
    </xf>
    <xf numFmtId="1" fontId="5" fillId="0" borderId="4" xfId="0" applyNumberFormat="1" applyFont="1" applyBorder="1" applyAlignment="1">
      <alignment horizontal="center" vertical="center" shrinkToFit="1"/>
    </xf>
    <xf numFmtId="0" fontId="3" fillId="0" borderId="2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5" borderId="4" xfId="0" applyFont="1" applyFill="1" applyBorder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166" fontId="5" fillId="0" borderId="0" xfId="1" applyNumberFormat="1" applyFont="1" applyBorder="1" applyAlignment="1">
      <alignment horizontal="right" vertical="top" shrinkToFit="1"/>
    </xf>
    <xf numFmtId="1" fontId="5" fillId="0" borderId="0" xfId="0" applyNumberFormat="1" applyFont="1" applyAlignment="1">
      <alignment horizontal="center" vertical="center" shrinkToFit="1"/>
    </xf>
    <xf numFmtId="166" fontId="3" fillId="0" borderId="0" xfId="0" applyNumberFormat="1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center" vertical="center" wrapText="1"/>
    </xf>
    <xf numFmtId="0" fontId="2" fillId="0" borderId="13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center" vertical="top" wrapText="1"/>
    </xf>
    <xf numFmtId="0" fontId="2" fillId="0" borderId="14" xfId="0" applyFont="1" applyBorder="1" applyAlignment="1">
      <alignment horizontal="center" vertical="top" wrapText="1"/>
    </xf>
    <xf numFmtId="166" fontId="5" fillId="0" borderId="15" xfId="1" applyNumberFormat="1" applyFont="1" applyBorder="1" applyAlignment="1">
      <alignment horizontal="right" vertical="top" shrinkToFit="1"/>
    </xf>
    <xf numFmtId="1" fontId="5" fillId="0" borderId="13" xfId="0" applyNumberFormat="1" applyFont="1" applyBorder="1" applyAlignment="1">
      <alignment horizontal="center" vertical="center" shrinkToFit="1"/>
    </xf>
    <xf numFmtId="0" fontId="2" fillId="0" borderId="16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center" vertical="top" wrapText="1"/>
    </xf>
    <xf numFmtId="0" fontId="2" fillId="0" borderId="17" xfId="0" applyFont="1" applyBorder="1" applyAlignment="1">
      <alignment horizontal="center" vertical="top" wrapText="1"/>
    </xf>
    <xf numFmtId="166" fontId="5" fillId="0" borderId="18" xfId="1" applyNumberFormat="1" applyFont="1" applyBorder="1" applyAlignment="1">
      <alignment horizontal="right" vertical="top" shrinkToFit="1"/>
    </xf>
    <xf numFmtId="1" fontId="5" fillId="0" borderId="16" xfId="0" applyNumberFormat="1" applyFont="1" applyBorder="1" applyAlignment="1">
      <alignment horizontal="center" vertical="center" shrinkToFit="1"/>
    </xf>
    <xf numFmtId="1" fontId="3" fillId="0" borderId="4" xfId="1" applyNumberFormat="1" applyFont="1" applyBorder="1" applyAlignment="1">
      <alignment vertical="top"/>
    </xf>
    <xf numFmtId="0" fontId="3" fillId="2" borderId="4" xfId="0" applyFont="1" applyFill="1" applyBorder="1" applyAlignment="1">
      <alignment vertical="top"/>
    </xf>
    <xf numFmtId="166" fontId="3" fillId="2" borderId="19" xfId="1" applyNumberFormat="1" applyFont="1" applyFill="1" applyBorder="1" applyAlignment="1">
      <alignment horizontal="left" vertical="top"/>
    </xf>
    <xf numFmtId="166" fontId="3" fillId="2" borderId="19" xfId="0" applyNumberFormat="1" applyFont="1" applyFill="1" applyBorder="1" applyAlignment="1">
      <alignment horizontal="left" vertical="top"/>
    </xf>
    <xf numFmtId="0" fontId="3" fillId="7" borderId="0" xfId="0" applyFont="1" applyFill="1" applyAlignment="1">
      <alignment horizontal="left" vertical="top"/>
    </xf>
    <xf numFmtId="166" fontId="3" fillId="7" borderId="0" xfId="1" applyNumberFormat="1" applyFont="1" applyFill="1" applyAlignment="1">
      <alignment horizontal="left" vertical="top"/>
    </xf>
    <xf numFmtId="166" fontId="3" fillId="2" borderId="4" xfId="1" applyNumberFormat="1" applyFont="1" applyFill="1" applyBorder="1" applyAlignment="1">
      <alignment vertical="top"/>
    </xf>
    <xf numFmtId="164" fontId="3" fillId="2" borderId="0" xfId="2" applyFont="1" applyFill="1" applyAlignment="1">
      <alignment horizontal="left" vertical="top"/>
    </xf>
    <xf numFmtId="0" fontId="6" fillId="2" borderId="10" xfId="0" applyFont="1" applyFill="1" applyBorder="1" applyAlignment="1">
      <alignment horizontal="left" vertical="top"/>
    </xf>
    <xf numFmtId="166" fontId="6" fillId="2" borderId="10" xfId="1" applyNumberFormat="1" applyFont="1" applyFill="1" applyBorder="1" applyAlignment="1">
      <alignment horizontal="left" vertical="top"/>
    </xf>
    <xf numFmtId="166" fontId="7" fillId="2" borderId="10" xfId="1" applyNumberFormat="1" applyFont="1" applyFill="1" applyBorder="1" applyAlignment="1">
      <alignment horizontal="left" vertical="top"/>
    </xf>
    <xf numFmtId="0" fontId="6" fillId="2" borderId="20" xfId="0" applyFont="1" applyFill="1" applyBorder="1" applyAlignment="1">
      <alignment horizontal="left" vertical="top"/>
    </xf>
    <xf numFmtId="166" fontId="6" fillId="2" borderId="20" xfId="1" applyNumberFormat="1" applyFont="1" applyFill="1" applyBorder="1" applyAlignment="1">
      <alignment horizontal="left" vertical="top"/>
    </xf>
    <xf numFmtId="166" fontId="7" fillId="2" borderId="20" xfId="1" applyNumberFormat="1" applyFont="1" applyFill="1" applyBorder="1" applyAlignment="1">
      <alignment horizontal="left" vertical="top"/>
    </xf>
    <xf numFmtId="164" fontId="3" fillId="2" borderId="4" xfId="2" applyFont="1" applyFill="1" applyBorder="1" applyAlignment="1">
      <alignment horizontal="left" vertical="top"/>
    </xf>
    <xf numFmtId="164" fontId="3" fillId="7" borderId="0" xfId="2" applyFont="1" applyFill="1" applyAlignment="1">
      <alignment horizontal="left" vertical="top"/>
    </xf>
    <xf numFmtId="164" fontId="3" fillId="2" borderId="5" xfId="2" applyFont="1" applyFill="1" applyBorder="1" applyAlignment="1">
      <alignment horizontal="left" vertical="top"/>
    </xf>
    <xf numFmtId="9" fontId="6" fillId="2" borderId="4" xfId="0" applyNumberFormat="1" applyFont="1" applyFill="1" applyBorder="1" applyAlignment="1">
      <alignment horizontal="left" vertical="top"/>
    </xf>
    <xf numFmtId="164" fontId="3" fillId="2" borderId="4" xfId="0" applyNumberFormat="1" applyFont="1" applyFill="1" applyBorder="1" applyAlignment="1">
      <alignment horizontal="left" vertical="top"/>
    </xf>
    <xf numFmtId="0" fontId="3" fillId="5" borderId="4" xfId="0" applyFont="1" applyFill="1" applyBorder="1" applyAlignment="1">
      <alignment vertical="top"/>
    </xf>
    <xf numFmtId="166" fontId="6" fillId="2" borderId="10" xfId="1" applyNumberFormat="1" applyFont="1" applyFill="1" applyBorder="1" applyAlignment="1">
      <alignment horizontal="center" vertical="top"/>
    </xf>
    <xf numFmtId="165" fontId="6" fillId="2" borderId="20" xfId="1" applyFont="1" applyFill="1" applyBorder="1" applyAlignment="1">
      <alignment horizontal="center" vertical="top"/>
    </xf>
    <xf numFmtId="165" fontId="7" fillId="2" borderId="20" xfId="1" applyFont="1" applyFill="1" applyBorder="1" applyAlignment="1">
      <alignment horizontal="left" vertical="top"/>
    </xf>
    <xf numFmtId="164" fontId="3" fillId="5" borderId="5" xfId="2" applyFont="1" applyFill="1" applyBorder="1" applyAlignment="1">
      <alignment horizontal="left" vertical="top"/>
    </xf>
    <xf numFmtId="164" fontId="3" fillId="5" borderId="4" xfId="0" applyNumberFormat="1" applyFont="1" applyFill="1" applyBorder="1" applyAlignment="1">
      <alignment horizontal="left" vertical="top"/>
    </xf>
    <xf numFmtId="164" fontId="6" fillId="2" borderId="10" xfId="2" applyFont="1" applyFill="1" applyBorder="1" applyAlignment="1">
      <alignment horizontal="center" vertical="top" wrapText="1"/>
    </xf>
    <xf numFmtId="164" fontId="6" fillId="2" borderId="20" xfId="2" applyFont="1" applyFill="1" applyBorder="1" applyAlignment="1">
      <alignment horizontal="center" vertical="top" wrapText="1"/>
    </xf>
    <xf numFmtId="0" fontId="6" fillId="2" borderId="10" xfId="0" applyFont="1" applyFill="1" applyBorder="1" applyAlignment="1">
      <alignment horizontal="center" vertical="top" wrapText="1"/>
    </xf>
    <xf numFmtId="0" fontId="6" fillId="2" borderId="20" xfId="0" applyFont="1" applyFill="1" applyBorder="1" applyAlignment="1">
      <alignment horizontal="center" vertical="top" wrapText="1"/>
    </xf>
    <xf numFmtId="166" fontId="7" fillId="0" borderId="4" xfId="1" applyNumberFormat="1" applyFont="1" applyBorder="1" applyAlignment="1">
      <alignment horizontal="center" vertical="top" wrapText="1"/>
    </xf>
    <xf numFmtId="0" fontId="3" fillId="0" borderId="2" xfId="0" applyFont="1" applyBorder="1" applyAlignment="1">
      <alignment horizontal="left" wrapText="1"/>
    </xf>
    <xf numFmtId="0" fontId="3" fillId="0" borderId="3" xfId="0" applyFont="1" applyBorder="1" applyAlignment="1">
      <alignment horizontal="left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left" wrapText="1"/>
    </xf>
    <xf numFmtId="0" fontId="6" fillId="2" borderId="4" xfId="0" applyFont="1" applyFill="1" applyBorder="1" applyAlignment="1">
      <alignment horizontal="left" vertical="top"/>
    </xf>
    <xf numFmtId="0" fontId="3" fillId="2" borderId="4" xfId="0" applyFont="1" applyFill="1" applyBorder="1" applyAlignment="1">
      <alignment horizontal="left" vertical="top"/>
    </xf>
    <xf numFmtId="0" fontId="6" fillId="0" borderId="5" xfId="0" applyFont="1" applyBorder="1" applyAlignment="1">
      <alignment horizontal="left" vertical="top"/>
    </xf>
    <xf numFmtId="0" fontId="6" fillId="0" borderId="6" xfId="0" applyFont="1" applyBorder="1" applyAlignment="1">
      <alignment horizontal="left" vertical="top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81"/>
  <sheetViews>
    <sheetView zoomScaleNormal="100" workbookViewId="0">
      <pane xSplit="2" ySplit="2" topLeftCell="C264" activePane="bottomRight" state="frozen"/>
      <selection pane="topRight" activeCell="C1" sqref="C1"/>
      <selection pane="bottomLeft" activeCell="A3" sqref="A3"/>
      <selection pane="bottomRight" activeCell="H160" sqref="H160"/>
    </sheetView>
  </sheetViews>
  <sheetFormatPr baseColWidth="10" defaultColWidth="8.796875" defaultRowHeight="14" x14ac:dyDescent="0.15"/>
  <cols>
    <col min="1" max="1" width="28.19921875" style="2" customWidth="1"/>
    <col min="2" max="2" width="11.59765625" style="2" customWidth="1"/>
    <col min="3" max="3" width="5.796875" style="2" customWidth="1"/>
    <col min="4" max="4" width="12.59765625" style="3" customWidth="1"/>
    <col min="5" max="5" width="12.59765625" style="76" customWidth="1"/>
    <col min="6" max="6" width="12.59765625" style="2" customWidth="1"/>
    <col min="7" max="7" width="5.59765625" style="10" customWidth="1"/>
    <col min="8" max="8" width="6.3984375" style="2" customWidth="1"/>
    <col min="9" max="9" width="8.796875" style="2"/>
    <col min="10" max="11" width="10.3984375" style="2" bestFit="1" customWidth="1"/>
    <col min="12" max="12" width="10.3984375" style="3" bestFit="1" customWidth="1"/>
    <col min="13" max="13" width="10.3984375" style="3" customWidth="1"/>
    <col min="14" max="14" width="8.796875" style="2"/>
    <col min="15" max="15" width="17.59765625" style="2" customWidth="1"/>
    <col min="16" max="16384" width="8.796875" style="2"/>
  </cols>
  <sheetData>
    <row r="1" spans="1:15" s="21" customFormat="1" ht="30" x14ac:dyDescent="0.15">
      <c r="A1" s="16" t="s">
        <v>12</v>
      </c>
      <c r="B1" s="16" t="s">
        <v>8</v>
      </c>
      <c r="C1" s="133" t="s">
        <v>13</v>
      </c>
      <c r="D1" s="134"/>
      <c r="E1" s="19" t="s">
        <v>14</v>
      </c>
      <c r="F1" s="42" t="s">
        <v>127</v>
      </c>
      <c r="G1" s="17"/>
      <c r="H1" s="131" t="s">
        <v>0</v>
      </c>
      <c r="I1" s="132"/>
      <c r="J1" s="20" t="s">
        <v>2</v>
      </c>
      <c r="K1" s="20" t="s">
        <v>3</v>
      </c>
      <c r="L1" s="18" t="s">
        <v>4</v>
      </c>
      <c r="M1" s="128" t="s">
        <v>143</v>
      </c>
      <c r="N1" s="20" t="s">
        <v>5</v>
      </c>
      <c r="O1" s="20" t="s">
        <v>10</v>
      </c>
    </row>
    <row r="2" spans="1:15" ht="16.5" customHeight="1" x14ac:dyDescent="0.2">
      <c r="A2" s="4" t="s">
        <v>15</v>
      </c>
      <c r="B2" s="5"/>
      <c r="C2" s="129"/>
      <c r="D2" s="130"/>
      <c r="E2" s="74"/>
      <c r="F2" s="43"/>
      <c r="G2" s="8"/>
      <c r="H2" s="11"/>
      <c r="I2" s="11"/>
      <c r="J2" s="11"/>
      <c r="K2" s="12">
        <v>1.2</v>
      </c>
      <c r="L2" s="13"/>
      <c r="M2" s="128"/>
      <c r="N2" s="11"/>
      <c r="O2" s="11"/>
    </row>
    <row r="3" spans="1:15" ht="16.5" customHeight="1" x14ac:dyDescent="0.15">
      <c r="A3" s="6" t="s">
        <v>16</v>
      </c>
      <c r="B3" s="1" t="s">
        <v>17</v>
      </c>
      <c r="C3" s="7" t="s">
        <v>18</v>
      </c>
      <c r="D3" s="65">
        <v>427000</v>
      </c>
      <c r="E3" s="69">
        <v>2000</v>
      </c>
      <c r="F3" s="44"/>
      <c r="G3" s="9"/>
      <c r="H3" s="11">
        <f>E3/50</f>
        <v>40</v>
      </c>
      <c r="I3" s="11" t="s">
        <v>1</v>
      </c>
      <c r="J3" s="13">
        <f>D3/H3</f>
        <v>10675</v>
      </c>
      <c r="K3" s="13">
        <f>J3*$K$2</f>
        <v>12810</v>
      </c>
      <c r="L3" s="13">
        <v>11000</v>
      </c>
      <c r="M3" s="13">
        <v>14500</v>
      </c>
      <c r="N3" s="14">
        <f>L3-J3</f>
        <v>325</v>
      </c>
      <c r="O3" s="14">
        <f>H3*N3</f>
        <v>13000</v>
      </c>
    </row>
    <row r="4" spans="1:15" ht="16.5" customHeight="1" x14ac:dyDescent="0.15">
      <c r="A4" s="6" t="s">
        <v>19</v>
      </c>
      <c r="B4" s="1" t="s">
        <v>17</v>
      </c>
      <c r="C4" s="7" t="s">
        <v>18</v>
      </c>
      <c r="D4" s="65">
        <v>427000</v>
      </c>
      <c r="E4" s="69">
        <v>2000</v>
      </c>
      <c r="F4" s="44"/>
      <c r="G4" s="9"/>
      <c r="H4" s="11">
        <f t="shared" ref="H4:H16" si="0">E4/50</f>
        <v>40</v>
      </c>
      <c r="I4" s="11" t="s">
        <v>1</v>
      </c>
      <c r="J4" s="13">
        <f t="shared" ref="J4:J10" si="1">D4/H4</f>
        <v>10675</v>
      </c>
      <c r="K4" s="13">
        <f t="shared" ref="K4:K16" si="2">J4*$K$2</f>
        <v>12810</v>
      </c>
      <c r="L4" s="13">
        <v>11000</v>
      </c>
      <c r="M4" s="13">
        <v>14500</v>
      </c>
      <c r="N4" s="14">
        <f t="shared" ref="N4:N10" si="3">L4-J4</f>
        <v>325</v>
      </c>
      <c r="O4" s="14">
        <f t="shared" ref="O4:O67" si="4">H4*N4</f>
        <v>13000</v>
      </c>
    </row>
    <row r="5" spans="1:15" ht="16.5" customHeight="1" x14ac:dyDescent="0.15">
      <c r="A5" s="6" t="s">
        <v>20</v>
      </c>
      <c r="B5" s="1" t="s">
        <v>17</v>
      </c>
      <c r="C5" s="7" t="s">
        <v>18</v>
      </c>
      <c r="D5" s="65">
        <v>427000</v>
      </c>
      <c r="E5" s="69">
        <v>2000</v>
      </c>
      <c r="F5" s="44"/>
      <c r="G5" s="9"/>
      <c r="H5" s="11">
        <f t="shared" si="0"/>
        <v>40</v>
      </c>
      <c r="I5" s="11" t="s">
        <v>1</v>
      </c>
      <c r="J5" s="13">
        <f t="shared" si="1"/>
        <v>10675</v>
      </c>
      <c r="K5" s="13">
        <f t="shared" si="2"/>
        <v>12810</v>
      </c>
      <c r="L5" s="13">
        <v>11000</v>
      </c>
      <c r="M5" s="13">
        <v>14500</v>
      </c>
      <c r="N5" s="14">
        <f t="shared" si="3"/>
        <v>325</v>
      </c>
      <c r="O5" s="14">
        <f t="shared" si="4"/>
        <v>13000</v>
      </c>
    </row>
    <row r="6" spans="1:15" ht="16.5" customHeight="1" x14ac:dyDescent="0.15">
      <c r="A6" s="6" t="s">
        <v>21</v>
      </c>
      <c r="B6" s="1" t="s">
        <v>17</v>
      </c>
      <c r="C6" s="7" t="s">
        <v>18</v>
      </c>
      <c r="D6" s="65">
        <v>345000</v>
      </c>
      <c r="E6" s="69">
        <v>2000</v>
      </c>
      <c r="F6" s="44"/>
      <c r="G6" s="9"/>
      <c r="H6" s="11">
        <f t="shared" si="0"/>
        <v>40</v>
      </c>
      <c r="I6" s="11" t="s">
        <v>1</v>
      </c>
      <c r="J6" s="13">
        <f t="shared" si="1"/>
        <v>8625</v>
      </c>
      <c r="K6" s="13">
        <f t="shared" si="2"/>
        <v>10350</v>
      </c>
      <c r="L6" s="13">
        <v>11000</v>
      </c>
      <c r="M6" s="13">
        <v>10000</v>
      </c>
      <c r="N6" s="14">
        <f t="shared" si="3"/>
        <v>2375</v>
      </c>
      <c r="O6" s="14">
        <f t="shared" si="4"/>
        <v>95000</v>
      </c>
    </row>
    <row r="7" spans="1:15" ht="16.5" customHeight="1" x14ac:dyDescent="0.15">
      <c r="A7" s="6" t="s">
        <v>22</v>
      </c>
      <c r="B7" s="1" t="s">
        <v>17</v>
      </c>
      <c r="C7" s="7" t="s">
        <v>18</v>
      </c>
      <c r="D7" s="65">
        <v>345000</v>
      </c>
      <c r="E7" s="69">
        <v>2000</v>
      </c>
      <c r="F7" s="44"/>
      <c r="G7" s="9"/>
      <c r="H7" s="11">
        <f t="shared" si="0"/>
        <v>40</v>
      </c>
      <c r="I7" s="11" t="s">
        <v>1</v>
      </c>
      <c r="J7" s="13">
        <f t="shared" si="1"/>
        <v>8625</v>
      </c>
      <c r="K7" s="13">
        <f t="shared" si="2"/>
        <v>10350</v>
      </c>
      <c r="L7" s="13">
        <v>11000</v>
      </c>
      <c r="M7" s="13">
        <v>10000</v>
      </c>
      <c r="N7" s="14">
        <f t="shared" si="3"/>
        <v>2375</v>
      </c>
      <c r="O7" s="14">
        <f t="shared" si="4"/>
        <v>95000</v>
      </c>
    </row>
    <row r="8" spans="1:15" ht="16.5" customHeight="1" x14ac:dyDescent="0.15">
      <c r="A8" s="6" t="s">
        <v>23</v>
      </c>
      <c r="B8" s="1" t="s">
        <v>17</v>
      </c>
      <c r="C8" s="7" t="s">
        <v>18</v>
      </c>
      <c r="D8" s="65">
        <v>350000</v>
      </c>
      <c r="E8" s="69">
        <v>2000</v>
      </c>
      <c r="F8" s="44"/>
      <c r="G8" s="9"/>
      <c r="H8" s="11">
        <f t="shared" si="0"/>
        <v>40</v>
      </c>
      <c r="I8" s="11" t="s">
        <v>1</v>
      </c>
      <c r="J8" s="13">
        <f t="shared" si="1"/>
        <v>8750</v>
      </c>
      <c r="K8" s="13">
        <f t="shared" si="2"/>
        <v>10500</v>
      </c>
      <c r="L8" s="13">
        <v>11000</v>
      </c>
      <c r="M8" s="13">
        <v>9000</v>
      </c>
      <c r="N8" s="14">
        <f t="shared" si="3"/>
        <v>2250</v>
      </c>
      <c r="O8" s="14">
        <f t="shared" si="4"/>
        <v>90000</v>
      </c>
    </row>
    <row r="9" spans="1:15" ht="16.5" customHeight="1" x14ac:dyDescent="0.15">
      <c r="A9" s="6" t="s">
        <v>24</v>
      </c>
      <c r="B9" s="1" t="s">
        <v>17</v>
      </c>
      <c r="C9" s="7" t="s">
        <v>18</v>
      </c>
      <c r="D9" s="65">
        <v>318000</v>
      </c>
      <c r="E9" s="69">
        <v>2000</v>
      </c>
      <c r="F9" s="44"/>
      <c r="G9" s="9"/>
      <c r="H9" s="11">
        <f t="shared" si="0"/>
        <v>40</v>
      </c>
      <c r="I9" s="11" t="s">
        <v>1</v>
      </c>
      <c r="J9" s="13">
        <f t="shared" si="1"/>
        <v>7950</v>
      </c>
      <c r="K9" s="13">
        <f t="shared" si="2"/>
        <v>9540</v>
      </c>
      <c r="L9" s="13">
        <v>11000</v>
      </c>
      <c r="M9" s="13"/>
      <c r="N9" s="14">
        <f t="shared" si="3"/>
        <v>3050</v>
      </c>
      <c r="O9" s="14">
        <f t="shared" si="4"/>
        <v>122000</v>
      </c>
    </row>
    <row r="10" spans="1:15" ht="16.5" customHeight="1" x14ac:dyDescent="0.15">
      <c r="A10" s="6" t="s">
        <v>25</v>
      </c>
      <c r="B10" s="1" t="s">
        <v>17</v>
      </c>
      <c r="C10" s="7" t="s">
        <v>18</v>
      </c>
      <c r="D10" s="65">
        <v>384000</v>
      </c>
      <c r="E10" s="69">
        <v>2000</v>
      </c>
      <c r="F10" s="44"/>
      <c r="G10" s="9"/>
      <c r="H10" s="11">
        <f t="shared" si="0"/>
        <v>40</v>
      </c>
      <c r="I10" s="11" t="s">
        <v>1</v>
      </c>
      <c r="J10" s="13">
        <f t="shared" si="1"/>
        <v>9600</v>
      </c>
      <c r="K10" s="13">
        <f t="shared" si="2"/>
        <v>11520</v>
      </c>
      <c r="L10" s="13">
        <v>0</v>
      </c>
      <c r="M10" s="13"/>
      <c r="N10" s="14">
        <f t="shared" si="3"/>
        <v>-9600</v>
      </c>
      <c r="O10" s="14">
        <f t="shared" si="4"/>
        <v>-384000</v>
      </c>
    </row>
    <row r="11" spans="1:15" ht="16.5" customHeight="1" x14ac:dyDescent="0.15">
      <c r="A11" s="6" t="s">
        <v>26</v>
      </c>
      <c r="B11" s="1" t="s">
        <v>17</v>
      </c>
      <c r="C11" s="7" t="s">
        <v>18</v>
      </c>
      <c r="D11" s="65">
        <v>288000</v>
      </c>
      <c r="E11" s="69">
        <v>2000</v>
      </c>
      <c r="F11" s="44"/>
      <c r="G11" s="9"/>
      <c r="H11" s="11">
        <f t="shared" si="0"/>
        <v>40</v>
      </c>
      <c r="I11" s="11" t="s">
        <v>1</v>
      </c>
      <c r="J11" s="13">
        <f t="shared" ref="J11:J16" si="5">D11/H11</f>
        <v>7200</v>
      </c>
      <c r="K11" s="13">
        <f t="shared" si="2"/>
        <v>8640</v>
      </c>
      <c r="L11" s="13">
        <v>10000</v>
      </c>
      <c r="M11" s="13"/>
      <c r="N11" s="14">
        <f t="shared" ref="N11:N16" si="6">L11-J11</f>
        <v>2800</v>
      </c>
      <c r="O11" s="14">
        <f t="shared" si="4"/>
        <v>112000</v>
      </c>
    </row>
    <row r="12" spans="1:15" ht="16.5" customHeight="1" x14ac:dyDescent="0.15">
      <c r="A12" s="6" t="s">
        <v>27</v>
      </c>
      <c r="B12" s="1" t="s">
        <v>17</v>
      </c>
      <c r="C12" s="7" t="s">
        <v>18</v>
      </c>
      <c r="D12" s="65">
        <v>222000</v>
      </c>
      <c r="E12" s="69">
        <v>2000</v>
      </c>
      <c r="F12" s="44"/>
      <c r="G12" s="9"/>
      <c r="H12" s="11">
        <f t="shared" si="0"/>
        <v>40</v>
      </c>
      <c r="I12" s="11" t="s">
        <v>1</v>
      </c>
      <c r="J12" s="13">
        <f t="shared" si="5"/>
        <v>5550</v>
      </c>
      <c r="K12" s="13">
        <f t="shared" si="2"/>
        <v>6660</v>
      </c>
      <c r="L12" s="13">
        <v>7000</v>
      </c>
      <c r="M12" s="13">
        <v>8150</v>
      </c>
      <c r="N12" s="14">
        <f t="shared" si="6"/>
        <v>1450</v>
      </c>
      <c r="O12" s="14">
        <f t="shared" si="4"/>
        <v>58000</v>
      </c>
    </row>
    <row r="13" spans="1:15" ht="16.5" customHeight="1" x14ac:dyDescent="0.15">
      <c r="A13" s="6" t="s">
        <v>28</v>
      </c>
      <c r="B13" s="1" t="s">
        <v>17</v>
      </c>
      <c r="C13" s="7" t="s">
        <v>18</v>
      </c>
      <c r="D13" s="65">
        <v>222000</v>
      </c>
      <c r="E13" s="69">
        <v>2000</v>
      </c>
      <c r="F13" s="44"/>
      <c r="G13" s="9"/>
      <c r="H13" s="11">
        <f t="shared" si="0"/>
        <v>40</v>
      </c>
      <c r="I13" s="11" t="s">
        <v>1</v>
      </c>
      <c r="J13" s="13">
        <f t="shared" si="5"/>
        <v>5550</v>
      </c>
      <c r="K13" s="13">
        <f t="shared" si="2"/>
        <v>6660</v>
      </c>
      <c r="L13" s="13">
        <v>8000</v>
      </c>
      <c r="M13" s="13">
        <v>9450</v>
      </c>
      <c r="N13" s="14">
        <f t="shared" si="6"/>
        <v>2450</v>
      </c>
      <c r="O13" s="14">
        <f t="shared" si="4"/>
        <v>98000</v>
      </c>
    </row>
    <row r="14" spans="1:15" ht="16.5" customHeight="1" x14ac:dyDescent="0.15">
      <c r="A14" s="6" t="s">
        <v>29</v>
      </c>
      <c r="B14" s="1" t="s">
        <v>17</v>
      </c>
      <c r="C14" s="7" t="s">
        <v>18</v>
      </c>
      <c r="D14" s="65">
        <v>566000</v>
      </c>
      <c r="E14" s="69">
        <v>2000</v>
      </c>
      <c r="F14" s="44"/>
      <c r="G14" s="9"/>
      <c r="H14" s="11">
        <f>E14/25</f>
        <v>80</v>
      </c>
      <c r="I14" s="11" t="s">
        <v>1</v>
      </c>
      <c r="J14" s="13">
        <f t="shared" si="5"/>
        <v>7075</v>
      </c>
      <c r="K14" s="13">
        <f t="shared" si="2"/>
        <v>8490</v>
      </c>
      <c r="L14" s="13"/>
      <c r="M14" s="13">
        <v>14500</v>
      </c>
      <c r="N14" s="14">
        <f t="shared" si="6"/>
        <v>-7075</v>
      </c>
      <c r="O14" s="14">
        <f t="shared" si="4"/>
        <v>-566000</v>
      </c>
    </row>
    <row r="15" spans="1:15" ht="16.5" customHeight="1" x14ac:dyDescent="0.15">
      <c r="A15" s="6" t="s">
        <v>30</v>
      </c>
      <c r="B15" s="1" t="s">
        <v>17</v>
      </c>
      <c r="C15" s="7" t="s">
        <v>18</v>
      </c>
      <c r="D15" s="65">
        <v>200000</v>
      </c>
      <c r="E15" s="69">
        <v>2000</v>
      </c>
      <c r="F15" s="44"/>
      <c r="G15" s="9"/>
      <c r="H15" s="11">
        <f t="shared" si="0"/>
        <v>40</v>
      </c>
      <c r="I15" s="11" t="s">
        <v>1</v>
      </c>
      <c r="J15" s="13">
        <f t="shared" si="5"/>
        <v>5000</v>
      </c>
      <c r="K15" s="13">
        <f t="shared" si="2"/>
        <v>6000</v>
      </c>
      <c r="L15" s="13">
        <v>6000</v>
      </c>
      <c r="M15" s="13">
        <v>7500</v>
      </c>
      <c r="N15" s="14">
        <f t="shared" si="6"/>
        <v>1000</v>
      </c>
      <c r="O15" s="14">
        <f t="shared" si="4"/>
        <v>40000</v>
      </c>
    </row>
    <row r="16" spans="1:15" ht="16.5" customHeight="1" x14ac:dyDescent="0.15">
      <c r="A16" s="6" t="s">
        <v>31</v>
      </c>
      <c r="B16" s="1" t="s">
        <v>17</v>
      </c>
      <c r="C16" s="7" t="s">
        <v>18</v>
      </c>
      <c r="D16" s="65">
        <v>278000</v>
      </c>
      <c r="E16" s="69">
        <v>2000</v>
      </c>
      <c r="F16" s="44"/>
      <c r="G16" s="9"/>
      <c r="H16" s="11">
        <f t="shared" si="0"/>
        <v>40</v>
      </c>
      <c r="I16" s="11" t="s">
        <v>1</v>
      </c>
      <c r="J16" s="13">
        <f t="shared" si="5"/>
        <v>6950</v>
      </c>
      <c r="K16" s="13">
        <f t="shared" si="2"/>
        <v>8340</v>
      </c>
      <c r="L16" s="13">
        <v>8000</v>
      </c>
      <c r="M16" s="13">
        <v>8500</v>
      </c>
      <c r="N16" s="14">
        <f t="shared" si="6"/>
        <v>1050</v>
      </c>
      <c r="O16" s="14">
        <f t="shared" si="4"/>
        <v>42000</v>
      </c>
    </row>
    <row r="17" spans="1:15" ht="14" customHeight="1" x14ac:dyDescent="0.2">
      <c r="A17" s="5"/>
      <c r="B17" s="5"/>
      <c r="C17" s="129"/>
      <c r="D17" s="130"/>
      <c r="E17" s="74"/>
      <c r="F17" s="43"/>
      <c r="G17" s="8"/>
      <c r="H17" s="11"/>
      <c r="I17" s="11"/>
      <c r="J17" s="11"/>
      <c r="K17" s="11"/>
      <c r="L17" s="13"/>
      <c r="M17" s="13"/>
      <c r="N17" s="11"/>
      <c r="O17" s="14">
        <f t="shared" si="4"/>
        <v>0</v>
      </c>
    </row>
    <row r="18" spans="1:15" ht="16.5" customHeight="1" x14ac:dyDescent="0.2">
      <c r="A18" s="4" t="s">
        <v>32</v>
      </c>
      <c r="B18" s="5"/>
      <c r="C18" s="129"/>
      <c r="D18" s="130"/>
      <c r="E18" s="74"/>
      <c r="F18" s="43"/>
      <c r="G18" s="8"/>
      <c r="H18" s="11"/>
      <c r="I18" s="11"/>
      <c r="J18" s="11"/>
      <c r="K18" s="11"/>
      <c r="L18" s="13"/>
      <c r="M18" s="13"/>
      <c r="N18" s="11"/>
      <c r="O18" s="14">
        <f t="shared" si="4"/>
        <v>0</v>
      </c>
    </row>
    <row r="19" spans="1:15" ht="16.5" customHeight="1" x14ac:dyDescent="0.15">
      <c r="A19" s="6" t="s">
        <v>33</v>
      </c>
      <c r="B19" s="1" t="s">
        <v>34</v>
      </c>
      <c r="C19" s="7" t="s">
        <v>18</v>
      </c>
      <c r="D19" s="65">
        <v>811000</v>
      </c>
      <c r="E19" s="69">
        <v>15</v>
      </c>
      <c r="F19" s="44"/>
      <c r="G19" s="9"/>
      <c r="H19" s="11"/>
      <c r="I19" s="11"/>
      <c r="J19" s="11"/>
      <c r="K19" s="11"/>
      <c r="L19" s="13"/>
      <c r="M19" s="13"/>
      <c r="N19" s="11"/>
      <c r="O19" s="14">
        <f t="shared" si="4"/>
        <v>0</v>
      </c>
    </row>
    <row r="20" spans="1:15" ht="16.5" customHeight="1" x14ac:dyDescent="0.15">
      <c r="A20" s="6" t="s">
        <v>35</v>
      </c>
      <c r="B20" s="1" t="s">
        <v>34</v>
      </c>
      <c r="C20" s="7" t="s">
        <v>18</v>
      </c>
      <c r="D20" s="65">
        <v>612500</v>
      </c>
      <c r="E20" s="69">
        <v>14</v>
      </c>
      <c r="F20" s="44"/>
      <c r="G20" s="9"/>
      <c r="H20" s="11"/>
      <c r="I20" s="11"/>
      <c r="J20" s="11"/>
      <c r="K20" s="11"/>
      <c r="L20" s="13"/>
      <c r="M20" s="13"/>
      <c r="N20" s="11"/>
      <c r="O20" s="14">
        <f t="shared" si="4"/>
        <v>0</v>
      </c>
    </row>
    <row r="21" spans="1:15" ht="16.5" customHeight="1" x14ac:dyDescent="0.15">
      <c r="A21" s="6" t="s">
        <v>36</v>
      </c>
      <c r="B21" s="1" t="s">
        <v>34</v>
      </c>
      <c r="C21" s="7" t="s">
        <v>18</v>
      </c>
      <c r="D21" s="65">
        <v>982000</v>
      </c>
      <c r="E21" s="69">
        <v>33</v>
      </c>
      <c r="F21" s="44"/>
      <c r="G21" s="9"/>
      <c r="H21" s="11"/>
      <c r="I21" s="11"/>
      <c r="J21" s="11"/>
      <c r="K21" s="11"/>
      <c r="L21" s="13"/>
      <c r="M21" s="13"/>
      <c r="N21" s="11"/>
      <c r="O21" s="14">
        <f t="shared" si="4"/>
        <v>0</v>
      </c>
    </row>
    <row r="22" spans="1:15" ht="16.5" customHeight="1" x14ac:dyDescent="0.15">
      <c r="A22" s="6" t="s">
        <v>37</v>
      </c>
      <c r="B22" s="1" t="s">
        <v>34</v>
      </c>
      <c r="C22" s="7" t="s">
        <v>18</v>
      </c>
      <c r="D22" s="65">
        <v>750000</v>
      </c>
      <c r="E22" s="69">
        <v>30</v>
      </c>
      <c r="F22" s="44"/>
      <c r="G22" s="9"/>
      <c r="H22" s="11"/>
      <c r="I22" s="11"/>
      <c r="J22" s="11"/>
      <c r="K22" s="11"/>
      <c r="L22" s="13"/>
      <c r="M22" s="13"/>
      <c r="N22" s="11"/>
      <c r="O22" s="14">
        <f t="shared" si="4"/>
        <v>0</v>
      </c>
    </row>
    <row r="23" spans="1:15" ht="16.5" customHeight="1" x14ac:dyDescent="0.15">
      <c r="A23" s="6" t="s">
        <v>38</v>
      </c>
      <c r="B23" s="1" t="s">
        <v>34</v>
      </c>
      <c r="C23" s="7" t="s">
        <v>18</v>
      </c>
      <c r="D23" s="65">
        <v>1210000</v>
      </c>
      <c r="E23" s="69">
        <v>60</v>
      </c>
      <c r="F23" s="44"/>
      <c r="G23" s="9"/>
      <c r="H23" s="11"/>
      <c r="I23" s="11"/>
      <c r="J23" s="11"/>
      <c r="K23" s="11"/>
      <c r="L23" s="13"/>
      <c r="M23" s="13"/>
      <c r="N23" s="11"/>
      <c r="O23" s="14">
        <f t="shared" si="4"/>
        <v>0</v>
      </c>
    </row>
    <row r="24" spans="1:15" ht="16.5" customHeight="1" x14ac:dyDescent="0.15">
      <c r="A24" s="6" t="s">
        <v>39</v>
      </c>
      <c r="B24" s="1" t="s">
        <v>34</v>
      </c>
      <c r="C24" s="7" t="s">
        <v>18</v>
      </c>
      <c r="D24" s="65">
        <v>882000</v>
      </c>
      <c r="E24" s="69">
        <v>60</v>
      </c>
      <c r="F24" s="44"/>
      <c r="G24" s="9"/>
      <c r="H24" s="11"/>
      <c r="I24" s="11"/>
      <c r="J24" s="11"/>
      <c r="K24" s="11"/>
      <c r="L24" s="13"/>
      <c r="M24" s="13"/>
      <c r="N24" s="11"/>
      <c r="O24" s="14">
        <f t="shared" si="4"/>
        <v>0</v>
      </c>
    </row>
    <row r="25" spans="1:15" ht="16.5" customHeight="1" x14ac:dyDescent="0.15">
      <c r="A25" s="6" t="s">
        <v>40</v>
      </c>
      <c r="B25" s="1" t="s">
        <v>34</v>
      </c>
      <c r="C25" s="7" t="s">
        <v>18</v>
      </c>
      <c r="D25" s="65">
        <v>752000</v>
      </c>
      <c r="E25" s="69">
        <v>60</v>
      </c>
      <c r="F25" s="44"/>
      <c r="G25" s="9"/>
      <c r="H25" s="11"/>
      <c r="I25" s="11"/>
      <c r="J25" s="11"/>
      <c r="K25" s="11"/>
      <c r="L25" s="13"/>
      <c r="M25" s="13"/>
      <c r="N25" s="11"/>
      <c r="O25" s="14">
        <f t="shared" si="4"/>
        <v>0</v>
      </c>
    </row>
    <row r="26" spans="1:15" ht="16.5" customHeight="1" x14ac:dyDescent="0.15">
      <c r="A26" s="6" t="s">
        <v>41</v>
      </c>
      <c r="B26" s="1" t="s">
        <v>42</v>
      </c>
      <c r="C26" s="7" t="s">
        <v>18</v>
      </c>
      <c r="D26" s="65">
        <v>25000</v>
      </c>
      <c r="E26" s="69">
        <v>1</v>
      </c>
      <c r="F26" s="44"/>
      <c r="G26" s="9"/>
      <c r="H26" s="11"/>
      <c r="I26" s="11"/>
      <c r="J26" s="11"/>
      <c r="K26" s="11"/>
      <c r="L26" s="13"/>
      <c r="M26" s="13"/>
      <c r="N26" s="11"/>
      <c r="O26" s="14">
        <f t="shared" si="4"/>
        <v>0</v>
      </c>
    </row>
    <row r="27" spans="1:15" ht="16.5" customHeight="1" x14ac:dyDescent="0.15">
      <c r="A27" s="6" t="s">
        <v>43</v>
      </c>
      <c r="B27" s="1" t="s">
        <v>42</v>
      </c>
      <c r="C27" s="7" t="s">
        <v>18</v>
      </c>
      <c r="D27" s="65">
        <v>27500</v>
      </c>
      <c r="E27" s="69">
        <v>1</v>
      </c>
      <c r="F27" s="44"/>
      <c r="G27" s="9"/>
      <c r="H27" s="11"/>
      <c r="I27" s="11"/>
      <c r="J27" s="11"/>
      <c r="K27" s="11"/>
      <c r="L27" s="13"/>
      <c r="M27" s="13"/>
      <c r="N27" s="11"/>
      <c r="O27" s="14">
        <f t="shared" si="4"/>
        <v>0</v>
      </c>
    </row>
    <row r="28" spans="1:15" ht="16.5" customHeight="1" x14ac:dyDescent="0.15">
      <c r="A28" s="6" t="s">
        <v>44</v>
      </c>
      <c r="B28" s="1" t="s">
        <v>45</v>
      </c>
      <c r="C28" s="7" t="s">
        <v>18</v>
      </c>
      <c r="D28" s="65">
        <v>264000</v>
      </c>
      <c r="E28" s="69">
        <v>10</v>
      </c>
      <c r="F28" s="44"/>
      <c r="G28" s="9"/>
      <c r="H28" s="11"/>
      <c r="I28" s="11"/>
      <c r="J28" s="11"/>
      <c r="K28" s="11"/>
      <c r="L28" s="13"/>
      <c r="M28" s="13"/>
      <c r="N28" s="11"/>
      <c r="O28" s="14">
        <f t="shared" si="4"/>
        <v>0</v>
      </c>
    </row>
    <row r="29" spans="1:15" ht="16.5" customHeight="1" x14ac:dyDescent="0.15">
      <c r="A29" s="6" t="s">
        <v>46</v>
      </c>
      <c r="B29" s="1" t="s">
        <v>45</v>
      </c>
      <c r="C29" s="7" t="s">
        <v>18</v>
      </c>
      <c r="D29" s="65">
        <v>370000</v>
      </c>
      <c r="E29" s="69">
        <v>10</v>
      </c>
      <c r="F29" s="44"/>
      <c r="G29" s="9"/>
      <c r="H29" s="11"/>
      <c r="I29" s="11"/>
      <c r="J29" s="11"/>
      <c r="K29" s="11"/>
      <c r="L29" s="13"/>
      <c r="M29" s="13"/>
      <c r="N29" s="11"/>
      <c r="O29" s="14">
        <f t="shared" si="4"/>
        <v>0</v>
      </c>
    </row>
    <row r="30" spans="1:15" ht="16.5" customHeight="1" x14ac:dyDescent="0.15">
      <c r="A30" s="6" t="s">
        <v>47</v>
      </c>
      <c r="B30" s="1" t="s">
        <v>48</v>
      </c>
      <c r="C30" s="7" t="s">
        <v>18</v>
      </c>
      <c r="D30" s="65">
        <v>45000</v>
      </c>
      <c r="E30" s="69">
        <v>1</v>
      </c>
      <c r="F30" s="44"/>
      <c r="G30" s="9"/>
      <c r="H30" s="11"/>
      <c r="I30" s="11"/>
      <c r="J30" s="11"/>
      <c r="K30" s="11"/>
      <c r="L30" s="13"/>
      <c r="M30" s="13"/>
      <c r="N30" s="11"/>
      <c r="O30" s="14">
        <f t="shared" si="4"/>
        <v>0</v>
      </c>
    </row>
    <row r="31" spans="1:15" ht="16.5" customHeight="1" x14ac:dyDescent="0.15">
      <c r="A31" s="6" t="s">
        <v>49</v>
      </c>
      <c r="B31" s="1" t="s">
        <v>45</v>
      </c>
      <c r="C31" s="7" t="s">
        <v>18</v>
      </c>
      <c r="D31" s="65">
        <v>98000</v>
      </c>
      <c r="E31" s="69">
        <v>1</v>
      </c>
      <c r="F31" s="44"/>
      <c r="G31" s="9"/>
      <c r="H31" s="11"/>
      <c r="I31" s="11"/>
      <c r="J31" s="11"/>
      <c r="K31" s="11"/>
      <c r="L31" s="13"/>
      <c r="M31" s="13"/>
      <c r="N31" s="11"/>
      <c r="O31" s="14">
        <f t="shared" si="4"/>
        <v>0</v>
      </c>
    </row>
    <row r="32" spans="1:15" ht="16.5" customHeight="1" x14ac:dyDescent="0.15">
      <c r="A32" s="6" t="s">
        <v>50</v>
      </c>
      <c r="B32" s="1" t="s">
        <v>45</v>
      </c>
      <c r="C32" s="7" t="s">
        <v>18</v>
      </c>
      <c r="D32" s="65">
        <v>70000</v>
      </c>
      <c r="E32" s="69">
        <v>1</v>
      </c>
      <c r="F32" s="44"/>
      <c r="G32" s="9"/>
      <c r="H32" s="11"/>
      <c r="I32" s="11"/>
      <c r="J32" s="11"/>
      <c r="K32" s="11"/>
      <c r="L32" s="13"/>
      <c r="M32" s="13"/>
      <c r="N32" s="11"/>
      <c r="O32" s="14">
        <f t="shared" si="4"/>
        <v>0</v>
      </c>
    </row>
    <row r="33" spans="1:15" ht="16.5" customHeight="1" x14ac:dyDescent="0.15">
      <c r="A33" s="6" t="s">
        <v>51</v>
      </c>
      <c r="B33" s="1" t="s">
        <v>45</v>
      </c>
      <c r="C33" s="7" t="s">
        <v>18</v>
      </c>
      <c r="D33" s="65">
        <v>68000</v>
      </c>
      <c r="E33" s="69">
        <v>1</v>
      </c>
      <c r="F33" s="44"/>
      <c r="G33" s="9"/>
      <c r="H33" s="11"/>
      <c r="I33" s="11"/>
      <c r="J33" s="11"/>
      <c r="K33" s="11"/>
      <c r="L33" s="13"/>
      <c r="M33" s="13"/>
      <c r="N33" s="11"/>
      <c r="O33" s="14">
        <f t="shared" si="4"/>
        <v>0</v>
      </c>
    </row>
    <row r="34" spans="1:15" ht="16.5" customHeight="1" x14ac:dyDescent="0.15">
      <c r="A34" s="6" t="s">
        <v>52</v>
      </c>
      <c r="B34" s="1" t="s">
        <v>45</v>
      </c>
      <c r="C34" s="7" t="s">
        <v>18</v>
      </c>
      <c r="D34" s="65">
        <v>70000</v>
      </c>
      <c r="E34" s="69">
        <v>1</v>
      </c>
      <c r="F34" s="44"/>
      <c r="G34" s="9"/>
      <c r="H34" s="11"/>
      <c r="I34" s="11"/>
      <c r="J34" s="11"/>
      <c r="K34" s="11"/>
      <c r="L34" s="13"/>
      <c r="M34" s="13"/>
      <c r="N34" s="11"/>
      <c r="O34" s="14">
        <f t="shared" si="4"/>
        <v>0</v>
      </c>
    </row>
    <row r="35" spans="1:15" ht="16.5" customHeight="1" x14ac:dyDescent="0.15">
      <c r="A35" s="6" t="s">
        <v>53</v>
      </c>
      <c r="B35" s="1" t="s">
        <v>45</v>
      </c>
      <c r="C35" s="7" t="s">
        <v>18</v>
      </c>
      <c r="D35" s="65">
        <v>62000</v>
      </c>
      <c r="E35" s="69">
        <v>1</v>
      </c>
      <c r="F35" s="44"/>
      <c r="G35" s="9"/>
      <c r="H35" s="11"/>
      <c r="I35" s="11"/>
      <c r="J35" s="11"/>
      <c r="K35" s="11"/>
      <c r="L35" s="13"/>
      <c r="M35" s="13"/>
      <c r="N35" s="11"/>
      <c r="O35" s="14">
        <f t="shared" si="4"/>
        <v>0</v>
      </c>
    </row>
    <row r="36" spans="1:15" ht="16.5" customHeight="1" x14ac:dyDescent="0.15">
      <c r="A36" s="6" t="s">
        <v>54</v>
      </c>
      <c r="B36" s="1" t="s">
        <v>45</v>
      </c>
      <c r="C36" s="7" t="s">
        <v>18</v>
      </c>
      <c r="D36" s="65">
        <v>70000</v>
      </c>
      <c r="E36" s="69">
        <v>1</v>
      </c>
      <c r="F36" s="44"/>
      <c r="G36" s="9"/>
      <c r="H36" s="11"/>
      <c r="I36" s="11"/>
      <c r="J36" s="11"/>
      <c r="K36" s="11"/>
      <c r="L36" s="13"/>
      <c r="M36" s="13"/>
      <c r="N36" s="11"/>
      <c r="O36" s="14">
        <f t="shared" si="4"/>
        <v>0</v>
      </c>
    </row>
    <row r="37" spans="1:15" ht="16.5" customHeight="1" x14ac:dyDescent="0.15">
      <c r="A37" s="6" t="s">
        <v>55</v>
      </c>
      <c r="B37" s="1" t="s">
        <v>45</v>
      </c>
      <c r="C37" s="7" t="s">
        <v>18</v>
      </c>
      <c r="D37" s="65">
        <v>46000</v>
      </c>
      <c r="E37" s="69">
        <v>1</v>
      </c>
      <c r="F37" s="44"/>
      <c r="G37" s="9"/>
      <c r="H37" s="11"/>
      <c r="I37" s="11"/>
      <c r="J37" s="11"/>
      <c r="K37" s="11"/>
      <c r="L37" s="13"/>
      <c r="M37" s="13"/>
      <c r="N37" s="11"/>
      <c r="O37" s="14">
        <f t="shared" si="4"/>
        <v>0</v>
      </c>
    </row>
    <row r="38" spans="1:15" ht="15" customHeight="1" x14ac:dyDescent="0.2">
      <c r="A38" s="5"/>
      <c r="B38" s="5"/>
      <c r="C38" s="129"/>
      <c r="D38" s="130"/>
      <c r="E38" s="74"/>
      <c r="F38" s="43"/>
      <c r="G38" s="8"/>
      <c r="H38" s="11"/>
      <c r="I38" s="11"/>
      <c r="J38" s="11"/>
      <c r="K38" s="11"/>
      <c r="L38" s="13"/>
      <c r="M38" s="13"/>
      <c r="N38" s="11"/>
      <c r="O38" s="14">
        <f t="shared" si="4"/>
        <v>0</v>
      </c>
    </row>
    <row r="39" spans="1:15" ht="16.5" customHeight="1" x14ac:dyDescent="0.2">
      <c r="A39" s="4" t="s">
        <v>56</v>
      </c>
      <c r="B39" s="5"/>
      <c r="C39" s="129"/>
      <c r="D39" s="130"/>
      <c r="E39" s="74"/>
      <c r="F39" s="43"/>
      <c r="G39" s="8"/>
      <c r="H39" s="11"/>
      <c r="I39" s="11"/>
      <c r="J39" s="11"/>
      <c r="K39" s="11"/>
      <c r="L39" s="13"/>
      <c r="M39" s="13"/>
      <c r="N39" s="11"/>
      <c r="O39" s="14">
        <f t="shared" si="4"/>
        <v>0</v>
      </c>
    </row>
    <row r="40" spans="1:15" ht="16.5" customHeight="1" x14ac:dyDescent="0.15">
      <c r="A40" s="6" t="s">
        <v>57</v>
      </c>
      <c r="B40" s="1" t="s">
        <v>45</v>
      </c>
      <c r="C40" s="7" t="s">
        <v>18</v>
      </c>
      <c r="D40" s="65">
        <v>180000</v>
      </c>
      <c r="E40" s="69">
        <v>10</v>
      </c>
      <c r="F40" s="44"/>
      <c r="G40" s="9"/>
      <c r="H40" s="11"/>
      <c r="I40" s="11" t="s">
        <v>6</v>
      </c>
      <c r="J40" s="11"/>
      <c r="K40" s="11"/>
      <c r="L40" s="13"/>
      <c r="M40" s="13"/>
      <c r="N40" s="11"/>
      <c r="O40" s="14">
        <f t="shared" si="4"/>
        <v>0</v>
      </c>
    </row>
    <row r="41" spans="1:15" ht="16.5" customHeight="1" x14ac:dyDescent="0.15">
      <c r="A41" s="6" t="s">
        <v>58</v>
      </c>
      <c r="B41" s="1" t="s">
        <v>45</v>
      </c>
      <c r="C41" s="7" t="s">
        <v>18</v>
      </c>
      <c r="D41" s="65">
        <v>105000</v>
      </c>
      <c r="E41" s="69">
        <v>10</v>
      </c>
      <c r="F41" s="44"/>
      <c r="G41" s="9"/>
      <c r="H41" s="11"/>
      <c r="I41" s="11"/>
      <c r="J41" s="11"/>
      <c r="K41" s="11"/>
      <c r="L41" s="13"/>
      <c r="M41" s="13"/>
      <c r="N41" s="11"/>
      <c r="O41" s="14">
        <f t="shared" si="4"/>
        <v>0</v>
      </c>
    </row>
    <row r="42" spans="1:15" ht="16.5" customHeight="1" x14ac:dyDescent="0.15">
      <c r="A42" s="6" t="s">
        <v>59</v>
      </c>
      <c r="B42" s="1" t="s">
        <v>45</v>
      </c>
      <c r="C42" s="7" t="s">
        <v>18</v>
      </c>
      <c r="D42" s="65">
        <v>55000</v>
      </c>
      <c r="E42" s="69">
        <v>10</v>
      </c>
      <c r="F42" s="44"/>
      <c r="G42" s="9"/>
      <c r="H42" s="11">
        <v>10</v>
      </c>
      <c r="I42" s="11"/>
      <c r="J42" s="13">
        <f>D42/H42</f>
        <v>5500</v>
      </c>
      <c r="K42" s="13">
        <f t="shared" ref="K42" si="7">J42*$K$2</f>
        <v>6600</v>
      </c>
      <c r="L42" s="13">
        <v>7000</v>
      </c>
      <c r="M42" s="13"/>
      <c r="N42" s="14">
        <f t="shared" ref="N42" si="8">L42-J42</f>
        <v>1500</v>
      </c>
      <c r="O42" s="14">
        <f t="shared" ref="O42" si="9">H42*N42</f>
        <v>15000</v>
      </c>
    </row>
    <row r="43" spans="1:15" ht="16.5" customHeight="1" x14ac:dyDescent="0.15">
      <c r="A43" s="6" t="s">
        <v>60</v>
      </c>
      <c r="B43" s="1" t="s">
        <v>45</v>
      </c>
      <c r="C43" s="7" t="s">
        <v>18</v>
      </c>
      <c r="D43" s="65">
        <v>191000</v>
      </c>
      <c r="E43" s="69">
        <v>10</v>
      </c>
      <c r="F43" s="44"/>
      <c r="G43" s="9"/>
      <c r="H43" s="11"/>
      <c r="I43" s="11"/>
      <c r="J43" s="11"/>
      <c r="K43" s="11"/>
      <c r="L43" s="13"/>
      <c r="M43" s="13"/>
      <c r="N43" s="11"/>
      <c r="O43" s="14">
        <f t="shared" si="4"/>
        <v>0</v>
      </c>
    </row>
    <row r="44" spans="1:15" ht="16.5" customHeight="1" x14ac:dyDescent="0.15">
      <c r="A44" s="6" t="s">
        <v>61</v>
      </c>
      <c r="B44" s="1" t="s">
        <v>45</v>
      </c>
      <c r="C44" s="7" t="s">
        <v>18</v>
      </c>
      <c r="D44" s="65">
        <v>90000</v>
      </c>
      <c r="E44" s="69">
        <v>10</v>
      </c>
      <c r="F44" s="44"/>
      <c r="G44" s="9"/>
      <c r="H44" s="11"/>
      <c r="I44" s="11"/>
      <c r="J44" s="11"/>
      <c r="K44" s="11"/>
      <c r="L44" s="13"/>
      <c r="M44" s="13"/>
      <c r="N44" s="11"/>
      <c r="O44" s="14">
        <f t="shared" si="4"/>
        <v>0</v>
      </c>
    </row>
    <row r="45" spans="1:15" ht="16.5" customHeight="1" x14ac:dyDescent="0.15">
      <c r="A45" s="6" t="s">
        <v>62</v>
      </c>
      <c r="B45" s="1" t="s">
        <v>45</v>
      </c>
      <c r="C45" s="7" t="s">
        <v>18</v>
      </c>
      <c r="D45" s="65">
        <v>60000</v>
      </c>
      <c r="E45" s="69">
        <v>10</v>
      </c>
      <c r="F45" s="44"/>
      <c r="G45" s="9"/>
      <c r="H45" s="11"/>
      <c r="I45" s="11"/>
      <c r="J45" s="11"/>
      <c r="K45" s="11"/>
      <c r="L45" s="13"/>
      <c r="M45" s="13"/>
      <c r="N45" s="11"/>
      <c r="O45" s="14">
        <f t="shared" si="4"/>
        <v>0</v>
      </c>
    </row>
    <row r="46" spans="1:15" ht="16.5" customHeight="1" x14ac:dyDescent="0.15">
      <c r="A46" s="6" t="s">
        <v>63</v>
      </c>
      <c r="B46" s="1" t="s">
        <v>45</v>
      </c>
      <c r="C46" s="7" t="s">
        <v>18</v>
      </c>
      <c r="D46" s="65">
        <v>180000</v>
      </c>
      <c r="E46" s="69">
        <v>10</v>
      </c>
      <c r="F46" s="44"/>
      <c r="G46" s="9"/>
      <c r="H46" s="11"/>
      <c r="I46" s="11"/>
      <c r="J46" s="11"/>
      <c r="K46" s="11"/>
      <c r="L46" s="13"/>
      <c r="M46" s="13"/>
      <c r="N46" s="11"/>
      <c r="O46" s="14">
        <f t="shared" si="4"/>
        <v>0</v>
      </c>
    </row>
    <row r="47" spans="1:15" ht="14.75" customHeight="1" x14ac:dyDescent="0.2">
      <c r="A47" s="5"/>
      <c r="B47" s="5"/>
      <c r="C47" s="129"/>
      <c r="D47" s="130"/>
      <c r="E47" s="74"/>
      <c r="F47" s="43"/>
      <c r="G47" s="8"/>
      <c r="H47" s="11"/>
      <c r="I47" s="11"/>
      <c r="J47" s="11"/>
      <c r="K47" s="11"/>
      <c r="L47" s="13"/>
      <c r="M47" s="13"/>
      <c r="N47" s="11"/>
      <c r="O47" s="14">
        <f t="shared" si="4"/>
        <v>0</v>
      </c>
    </row>
    <row r="48" spans="1:15" ht="16.5" customHeight="1" x14ac:dyDescent="0.2">
      <c r="A48" s="4" t="s">
        <v>64</v>
      </c>
      <c r="B48" s="5"/>
      <c r="C48" s="129"/>
      <c r="D48" s="130"/>
      <c r="E48" s="74"/>
      <c r="F48" s="43"/>
      <c r="G48" s="8"/>
      <c r="H48" s="11"/>
      <c r="I48" s="11"/>
      <c r="J48" s="11"/>
      <c r="K48" s="11"/>
      <c r="L48" s="13"/>
      <c r="M48" s="13"/>
      <c r="N48" s="11"/>
      <c r="O48" s="14">
        <f t="shared" si="4"/>
        <v>0</v>
      </c>
    </row>
    <row r="49" spans="1:15" ht="16.5" customHeight="1" x14ac:dyDescent="0.15">
      <c r="A49" s="6" t="s">
        <v>65</v>
      </c>
      <c r="B49" s="1" t="s">
        <v>66</v>
      </c>
      <c r="C49" s="7" t="s">
        <v>18</v>
      </c>
      <c r="D49" s="65">
        <v>618500</v>
      </c>
      <c r="E49" s="69">
        <v>25</v>
      </c>
      <c r="F49" s="44"/>
      <c r="G49" s="9"/>
      <c r="H49" s="15">
        <f>E49</f>
        <v>25</v>
      </c>
      <c r="I49" s="11" t="s">
        <v>6</v>
      </c>
      <c r="J49" s="13">
        <f>D49/H49</f>
        <v>24740</v>
      </c>
      <c r="K49" s="13">
        <f t="shared" ref="K49:K53" si="10">J49*$K$2</f>
        <v>29688</v>
      </c>
      <c r="L49" s="13">
        <v>30000</v>
      </c>
      <c r="M49" s="13">
        <v>26000</v>
      </c>
      <c r="N49" s="14">
        <f t="shared" ref="N49" si="11">L49-J49</f>
        <v>5260</v>
      </c>
      <c r="O49" s="14">
        <f t="shared" si="4"/>
        <v>131500</v>
      </c>
    </row>
    <row r="50" spans="1:15" ht="16.5" customHeight="1" x14ac:dyDescent="0.15">
      <c r="A50" s="6" t="s">
        <v>67</v>
      </c>
      <c r="B50" s="1" t="s">
        <v>68</v>
      </c>
      <c r="C50" s="7" t="s">
        <v>18</v>
      </c>
      <c r="D50" s="65">
        <v>107500</v>
      </c>
      <c r="E50" s="69">
        <v>5</v>
      </c>
      <c r="F50" s="44"/>
      <c r="G50" s="9"/>
      <c r="H50" s="15">
        <f t="shared" ref="H50:H52" si="12">E50</f>
        <v>5</v>
      </c>
      <c r="I50" s="11" t="s">
        <v>6</v>
      </c>
      <c r="J50" s="13">
        <f t="shared" ref="J50:J53" si="13">D50/H50</f>
        <v>21500</v>
      </c>
      <c r="K50" s="13">
        <f t="shared" si="10"/>
        <v>25800</v>
      </c>
      <c r="L50" s="13">
        <v>26000</v>
      </c>
      <c r="M50" s="13"/>
      <c r="N50" s="14">
        <f t="shared" ref="N50:N53" si="14">L50-J50</f>
        <v>4500</v>
      </c>
      <c r="O50" s="14">
        <f t="shared" si="4"/>
        <v>22500</v>
      </c>
    </row>
    <row r="51" spans="1:15" ht="16.5" customHeight="1" x14ac:dyDescent="0.15">
      <c r="A51" s="6" t="s">
        <v>69</v>
      </c>
      <c r="B51" s="1" t="s">
        <v>68</v>
      </c>
      <c r="C51" s="7" t="s">
        <v>18</v>
      </c>
      <c r="D51" s="65">
        <v>45500</v>
      </c>
      <c r="E51" s="69">
        <v>5</v>
      </c>
      <c r="F51" s="44"/>
      <c r="G51" s="9"/>
      <c r="H51" s="15">
        <f t="shared" si="12"/>
        <v>5</v>
      </c>
      <c r="I51" s="11" t="s">
        <v>6</v>
      </c>
      <c r="J51" s="13">
        <f t="shared" si="13"/>
        <v>9100</v>
      </c>
      <c r="K51" s="13">
        <f t="shared" si="10"/>
        <v>10920</v>
      </c>
      <c r="L51" s="13">
        <v>11000</v>
      </c>
      <c r="M51" s="13"/>
      <c r="N51" s="14">
        <f t="shared" si="14"/>
        <v>1900</v>
      </c>
      <c r="O51" s="14">
        <f t="shared" si="4"/>
        <v>9500</v>
      </c>
    </row>
    <row r="52" spans="1:15" ht="16.5" customHeight="1" x14ac:dyDescent="0.15">
      <c r="A52" s="6" t="s">
        <v>70</v>
      </c>
      <c r="B52" s="1" t="s">
        <v>68</v>
      </c>
      <c r="C52" s="7" t="s">
        <v>18</v>
      </c>
      <c r="D52" s="65">
        <v>72000</v>
      </c>
      <c r="E52" s="69">
        <v>5</v>
      </c>
      <c r="F52" s="44"/>
      <c r="G52" s="9"/>
      <c r="H52" s="15">
        <f t="shared" si="12"/>
        <v>5</v>
      </c>
      <c r="I52" s="11" t="s">
        <v>6</v>
      </c>
      <c r="J52" s="13">
        <f t="shared" si="13"/>
        <v>14400</v>
      </c>
      <c r="K52" s="13">
        <f t="shared" si="10"/>
        <v>17280</v>
      </c>
      <c r="L52" s="13">
        <v>18000</v>
      </c>
      <c r="M52" s="13"/>
      <c r="N52" s="14">
        <f t="shared" si="14"/>
        <v>3600</v>
      </c>
      <c r="O52" s="14">
        <f t="shared" si="4"/>
        <v>18000</v>
      </c>
    </row>
    <row r="53" spans="1:15" ht="16.5" customHeight="1" x14ac:dyDescent="0.15">
      <c r="A53" s="6" t="s">
        <v>71</v>
      </c>
      <c r="B53" s="1" t="s">
        <v>68</v>
      </c>
      <c r="C53" s="7" t="s">
        <v>18</v>
      </c>
      <c r="D53" s="65">
        <v>134000</v>
      </c>
      <c r="E53" s="69">
        <v>5</v>
      </c>
      <c r="F53" s="44"/>
      <c r="G53" s="9"/>
      <c r="H53" s="15">
        <v>25</v>
      </c>
      <c r="I53" s="11" t="s">
        <v>6</v>
      </c>
      <c r="J53" s="13">
        <f t="shared" si="13"/>
        <v>5360</v>
      </c>
      <c r="K53" s="13">
        <f t="shared" si="10"/>
        <v>6432</v>
      </c>
      <c r="L53" s="13">
        <v>30000</v>
      </c>
      <c r="M53" s="13">
        <v>16450</v>
      </c>
      <c r="N53" s="14">
        <f t="shared" si="14"/>
        <v>24640</v>
      </c>
      <c r="O53" s="14">
        <f t="shared" si="4"/>
        <v>616000</v>
      </c>
    </row>
    <row r="54" spans="1:15" ht="14" customHeight="1" x14ac:dyDescent="0.2">
      <c r="A54" s="5"/>
      <c r="B54" s="5"/>
      <c r="C54" s="129"/>
      <c r="D54" s="130"/>
      <c r="E54" s="74"/>
      <c r="F54" s="43"/>
      <c r="G54" s="8"/>
      <c r="H54" s="11"/>
      <c r="I54" s="11"/>
      <c r="J54" s="11"/>
      <c r="K54" s="11"/>
      <c r="L54" s="13"/>
      <c r="M54" s="13"/>
      <c r="N54" s="11"/>
      <c r="O54" s="14">
        <f t="shared" si="4"/>
        <v>0</v>
      </c>
    </row>
    <row r="55" spans="1:15" ht="16.5" customHeight="1" x14ac:dyDescent="0.2">
      <c r="A55" s="4" t="s">
        <v>72</v>
      </c>
      <c r="B55" s="5"/>
      <c r="C55" s="129"/>
      <c r="D55" s="130"/>
      <c r="E55" s="74"/>
      <c r="F55" s="43"/>
      <c r="G55" s="8"/>
      <c r="H55" s="11"/>
      <c r="I55" s="11"/>
      <c r="J55" s="11"/>
      <c r="K55" s="11"/>
      <c r="L55" s="13"/>
      <c r="M55" s="13"/>
      <c r="N55" s="11"/>
      <c r="O55" s="14">
        <f t="shared" si="4"/>
        <v>0</v>
      </c>
    </row>
    <row r="56" spans="1:15" ht="16.5" customHeight="1" x14ac:dyDescent="0.15">
      <c r="A56" s="6" t="s">
        <v>73</v>
      </c>
      <c r="B56" s="1" t="s">
        <v>17</v>
      </c>
      <c r="C56" s="7" t="s">
        <v>18</v>
      </c>
      <c r="D56" s="65">
        <v>426000</v>
      </c>
      <c r="E56" s="69">
        <v>20</v>
      </c>
      <c r="F56" s="44"/>
      <c r="G56" s="9"/>
      <c r="H56" s="15">
        <f>E56</f>
        <v>20</v>
      </c>
      <c r="I56" s="11"/>
      <c r="J56" s="13">
        <f>D56/H56</f>
        <v>21300</v>
      </c>
      <c r="K56" s="13">
        <f t="shared" ref="K56:K67" si="15">J56*$K$2</f>
        <v>25560</v>
      </c>
      <c r="L56" s="13">
        <v>25000</v>
      </c>
      <c r="M56" s="13">
        <v>22000</v>
      </c>
      <c r="N56" s="14">
        <f t="shared" ref="N56:N60" si="16">L56-J56</f>
        <v>3700</v>
      </c>
      <c r="O56" s="14">
        <f t="shared" si="4"/>
        <v>74000</v>
      </c>
    </row>
    <row r="57" spans="1:15" ht="16.5" customHeight="1" x14ac:dyDescent="0.15">
      <c r="A57" s="6" t="s">
        <v>74</v>
      </c>
      <c r="B57" s="1" t="s">
        <v>17</v>
      </c>
      <c r="C57" s="7" t="s">
        <v>18</v>
      </c>
      <c r="D57" s="65">
        <v>448000</v>
      </c>
      <c r="E57" s="69">
        <v>20</v>
      </c>
      <c r="F57" s="44"/>
      <c r="G57" s="9"/>
      <c r="H57" s="15">
        <f t="shared" ref="H57:H67" si="17">E57</f>
        <v>20</v>
      </c>
      <c r="I57" s="11"/>
      <c r="J57" s="13">
        <f t="shared" ref="J57:J61" si="18">D57/H57</f>
        <v>22400</v>
      </c>
      <c r="K57" s="13">
        <f t="shared" si="15"/>
        <v>26880</v>
      </c>
      <c r="L57" s="13">
        <v>26000</v>
      </c>
      <c r="M57" s="13">
        <v>22000</v>
      </c>
      <c r="N57" s="14">
        <f t="shared" si="16"/>
        <v>3600</v>
      </c>
      <c r="O57" s="14">
        <f t="shared" si="4"/>
        <v>72000</v>
      </c>
    </row>
    <row r="58" spans="1:15" ht="16.5" customHeight="1" x14ac:dyDescent="0.15">
      <c r="A58" s="6" t="s">
        <v>75</v>
      </c>
      <c r="B58" s="1" t="s">
        <v>17</v>
      </c>
      <c r="C58" s="7" t="s">
        <v>18</v>
      </c>
      <c r="D58" s="65">
        <v>492000</v>
      </c>
      <c r="E58" s="69">
        <v>20</v>
      </c>
      <c r="F58" s="44"/>
      <c r="G58" s="9"/>
      <c r="H58" s="15">
        <f t="shared" si="17"/>
        <v>20</v>
      </c>
      <c r="I58" s="11"/>
      <c r="J58" s="13">
        <f t="shared" si="18"/>
        <v>24600</v>
      </c>
      <c r="K58" s="13">
        <f t="shared" si="15"/>
        <v>29520</v>
      </c>
      <c r="L58" s="13">
        <v>28000</v>
      </c>
      <c r="M58" s="13">
        <v>26000</v>
      </c>
      <c r="N58" s="14">
        <f t="shared" si="16"/>
        <v>3400</v>
      </c>
      <c r="O58" s="14">
        <f t="shared" si="4"/>
        <v>68000</v>
      </c>
    </row>
    <row r="59" spans="1:15" ht="16.5" customHeight="1" x14ac:dyDescent="0.15">
      <c r="A59" s="6" t="s">
        <v>76</v>
      </c>
      <c r="B59" s="1" t="s">
        <v>17</v>
      </c>
      <c r="C59" s="7" t="s">
        <v>18</v>
      </c>
      <c r="D59" s="65">
        <v>529000</v>
      </c>
      <c r="E59" s="69">
        <v>20</v>
      </c>
      <c r="F59" s="44"/>
      <c r="G59" s="9"/>
      <c r="H59" s="15">
        <f t="shared" si="17"/>
        <v>20</v>
      </c>
      <c r="I59" s="11"/>
      <c r="J59" s="13">
        <f t="shared" si="18"/>
        <v>26450</v>
      </c>
      <c r="K59" s="13">
        <f t="shared" si="15"/>
        <v>31740</v>
      </c>
      <c r="L59" s="13">
        <v>30000</v>
      </c>
      <c r="M59" s="13">
        <v>28000</v>
      </c>
      <c r="N59" s="14">
        <f t="shared" si="16"/>
        <v>3550</v>
      </c>
      <c r="O59" s="14">
        <f t="shared" si="4"/>
        <v>71000</v>
      </c>
    </row>
    <row r="60" spans="1:15" ht="16.5" customHeight="1" x14ac:dyDescent="0.15">
      <c r="A60" s="6" t="s">
        <v>77</v>
      </c>
      <c r="B60" s="1" t="s">
        <v>17</v>
      </c>
      <c r="C60" s="7" t="s">
        <v>18</v>
      </c>
      <c r="D60" s="65">
        <v>234000</v>
      </c>
      <c r="E60" s="69">
        <v>6</v>
      </c>
      <c r="F60" s="44"/>
      <c r="G60" s="9"/>
      <c r="H60" s="15">
        <f t="shared" si="17"/>
        <v>6</v>
      </c>
      <c r="I60" s="11"/>
      <c r="J60" s="13">
        <f t="shared" si="18"/>
        <v>39000</v>
      </c>
      <c r="K60" s="13">
        <f t="shared" si="15"/>
        <v>46800</v>
      </c>
      <c r="L60" s="13"/>
      <c r="M60" s="13">
        <v>44000</v>
      </c>
      <c r="N60" s="14">
        <f t="shared" si="16"/>
        <v>-39000</v>
      </c>
      <c r="O60" s="14">
        <f t="shared" si="4"/>
        <v>-234000</v>
      </c>
    </row>
    <row r="61" spans="1:15" ht="16.5" customHeight="1" x14ac:dyDescent="0.15">
      <c r="A61" s="6" t="s">
        <v>78</v>
      </c>
      <c r="B61" s="1" t="s">
        <v>17</v>
      </c>
      <c r="C61" s="7" t="s">
        <v>18</v>
      </c>
      <c r="D61" s="65">
        <v>260000</v>
      </c>
      <c r="E61" s="69">
        <v>6</v>
      </c>
      <c r="F61" s="44"/>
      <c r="G61" s="9"/>
      <c r="H61" s="15">
        <f t="shared" si="17"/>
        <v>6</v>
      </c>
      <c r="I61" s="11"/>
      <c r="J61" s="13">
        <f t="shared" si="18"/>
        <v>43333.333333333336</v>
      </c>
      <c r="K61" s="13">
        <f t="shared" si="15"/>
        <v>52000</v>
      </c>
      <c r="L61" s="13"/>
      <c r="M61" s="13">
        <v>48000</v>
      </c>
      <c r="N61" s="14">
        <f t="shared" ref="N61:N67" si="19">L61-J61</f>
        <v>-43333.333333333336</v>
      </c>
      <c r="O61" s="14">
        <f t="shared" si="4"/>
        <v>-260000</v>
      </c>
    </row>
    <row r="62" spans="1:15" ht="16.5" customHeight="1" x14ac:dyDescent="0.15">
      <c r="A62" s="6" t="s">
        <v>79</v>
      </c>
      <c r="B62" s="1" t="s">
        <v>17</v>
      </c>
      <c r="C62" s="7" t="s">
        <v>18</v>
      </c>
      <c r="D62" s="65">
        <v>390500</v>
      </c>
      <c r="E62" s="69">
        <v>6</v>
      </c>
      <c r="F62" s="44"/>
      <c r="G62" s="9"/>
      <c r="H62" s="15">
        <f t="shared" si="17"/>
        <v>6</v>
      </c>
      <c r="I62" s="11"/>
      <c r="J62" s="13">
        <f t="shared" ref="J62:J66" si="20">D62/H62</f>
        <v>65083.333333333336</v>
      </c>
      <c r="K62" s="13">
        <f t="shared" si="15"/>
        <v>78100</v>
      </c>
      <c r="L62" s="13">
        <v>70000</v>
      </c>
      <c r="M62" s="13">
        <v>68400</v>
      </c>
      <c r="N62" s="14">
        <f t="shared" si="19"/>
        <v>4916.6666666666642</v>
      </c>
      <c r="O62" s="14">
        <f t="shared" si="4"/>
        <v>29499.999999999985</v>
      </c>
    </row>
    <row r="63" spans="1:15" ht="16.5" customHeight="1" x14ac:dyDescent="0.15">
      <c r="A63" s="6" t="s">
        <v>80</v>
      </c>
      <c r="B63" s="1" t="s">
        <v>17</v>
      </c>
      <c r="C63" s="7" t="s">
        <v>18</v>
      </c>
      <c r="D63" s="65">
        <v>465000</v>
      </c>
      <c r="E63" s="69">
        <v>6</v>
      </c>
      <c r="F63" s="44"/>
      <c r="G63" s="9"/>
      <c r="H63" s="15">
        <f t="shared" si="17"/>
        <v>6</v>
      </c>
      <c r="I63" s="11"/>
      <c r="J63" s="13">
        <f t="shared" si="20"/>
        <v>77500</v>
      </c>
      <c r="K63" s="13">
        <f t="shared" si="15"/>
        <v>93000</v>
      </c>
      <c r="L63" s="13"/>
      <c r="M63" s="13">
        <v>77400</v>
      </c>
      <c r="N63" s="14">
        <f t="shared" si="19"/>
        <v>-77500</v>
      </c>
      <c r="O63" s="14">
        <f t="shared" si="4"/>
        <v>-465000</v>
      </c>
    </row>
    <row r="64" spans="1:15" ht="16.5" customHeight="1" x14ac:dyDescent="0.15">
      <c r="A64" s="6" t="s">
        <v>81</v>
      </c>
      <c r="B64" s="1" t="s">
        <v>17</v>
      </c>
      <c r="C64" s="7" t="s">
        <v>18</v>
      </c>
      <c r="D64" s="65">
        <v>355000</v>
      </c>
      <c r="E64" s="69">
        <v>40</v>
      </c>
      <c r="F64" s="44"/>
      <c r="G64" s="9"/>
      <c r="H64" s="15">
        <f t="shared" si="17"/>
        <v>40</v>
      </c>
      <c r="I64" s="11"/>
      <c r="J64" s="13">
        <f t="shared" si="20"/>
        <v>8875</v>
      </c>
      <c r="K64" s="13">
        <f t="shared" si="15"/>
        <v>10650</v>
      </c>
      <c r="L64" s="13"/>
      <c r="M64" s="13">
        <v>10800</v>
      </c>
      <c r="N64" s="14">
        <f t="shared" si="19"/>
        <v>-8875</v>
      </c>
      <c r="O64" s="14">
        <f t="shared" si="4"/>
        <v>-355000</v>
      </c>
    </row>
    <row r="65" spans="1:15" ht="16.5" customHeight="1" x14ac:dyDescent="0.15">
      <c r="A65" s="6" t="s">
        <v>82</v>
      </c>
      <c r="B65" s="1" t="s">
        <v>17</v>
      </c>
      <c r="C65" s="7" t="s">
        <v>18</v>
      </c>
      <c r="D65" s="65">
        <v>300000</v>
      </c>
      <c r="E65" s="69">
        <v>40</v>
      </c>
      <c r="F65" s="44"/>
      <c r="G65" s="9"/>
      <c r="H65" s="15">
        <f t="shared" si="17"/>
        <v>40</v>
      </c>
      <c r="I65" s="11"/>
      <c r="J65" s="13">
        <f t="shared" si="20"/>
        <v>7500</v>
      </c>
      <c r="K65" s="13">
        <f t="shared" si="15"/>
        <v>9000</v>
      </c>
      <c r="L65" s="13"/>
      <c r="M65" s="13">
        <v>9450</v>
      </c>
      <c r="N65" s="14">
        <f t="shared" si="19"/>
        <v>-7500</v>
      </c>
      <c r="O65" s="14">
        <f t="shared" si="4"/>
        <v>-300000</v>
      </c>
    </row>
    <row r="66" spans="1:15" ht="16.5" customHeight="1" x14ac:dyDescent="0.15">
      <c r="A66" s="6" t="s">
        <v>83</v>
      </c>
      <c r="B66" s="1" t="s">
        <v>17</v>
      </c>
      <c r="C66" s="7" t="s">
        <v>18</v>
      </c>
      <c r="D66" s="65">
        <v>364000</v>
      </c>
      <c r="E66" s="69">
        <v>24</v>
      </c>
      <c r="F66" s="44"/>
      <c r="G66" s="9"/>
      <c r="H66" s="15">
        <f t="shared" si="17"/>
        <v>24</v>
      </c>
      <c r="I66" s="11"/>
      <c r="J66" s="13">
        <f t="shared" si="20"/>
        <v>15166.666666666666</v>
      </c>
      <c r="K66" s="13">
        <f t="shared" si="15"/>
        <v>18200</v>
      </c>
      <c r="L66" s="13"/>
      <c r="M66" s="13">
        <v>18000</v>
      </c>
      <c r="N66" s="14">
        <f t="shared" si="19"/>
        <v>-15166.666666666666</v>
      </c>
      <c r="O66" s="14">
        <f t="shared" si="4"/>
        <v>-364000</v>
      </c>
    </row>
    <row r="67" spans="1:15" ht="16.5" customHeight="1" x14ac:dyDescent="0.15">
      <c r="A67" s="6" t="s">
        <v>84</v>
      </c>
      <c r="B67" s="1" t="s">
        <v>17</v>
      </c>
      <c r="C67" s="7" t="s">
        <v>18</v>
      </c>
      <c r="D67" s="65">
        <v>386000</v>
      </c>
      <c r="E67" s="69">
        <v>20</v>
      </c>
      <c r="F67" s="44"/>
      <c r="G67" s="9"/>
      <c r="H67" s="15">
        <f t="shared" si="17"/>
        <v>20</v>
      </c>
      <c r="I67" s="11"/>
      <c r="J67" s="13">
        <f>D67/H67</f>
        <v>19300</v>
      </c>
      <c r="K67" s="13">
        <f t="shared" si="15"/>
        <v>23160</v>
      </c>
      <c r="L67" s="13"/>
      <c r="M67" s="13">
        <v>20000</v>
      </c>
      <c r="N67" s="14">
        <f t="shared" si="19"/>
        <v>-19300</v>
      </c>
      <c r="O67" s="14">
        <f t="shared" si="4"/>
        <v>-386000</v>
      </c>
    </row>
    <row r="68" spans="1:15" ht="14" customHeight="1" x14ac:dyDescent="0.2">
      <c r="A68" s="5"/>
      <c r="B68" s="5"/>
      <c r="C68" s="129"/>
      <c r="D68" s="130"/>
      <c r="E68" s="74"/>
      <c r="F68" s="43"/>
      <c r="G68" s="8"/>
      <c r="H68" s="11"/>
      <c r="I68" s="11"/>
      <c r="J68" s="11"/>
      <c r="K68" s="11"/>
      <c r="L68" s="13"/>
      <c r="M68" s="13"/>
      <c r="N68" s="11"/>
      <c r="O68" s="14">
        <f t="shared" ref="O68:O116" si="21">H68*N68</f>
        <v>0</v>
      </c>
    </row>
    <row r="69" spans="1:15" ht="16.5" customHeight="1" x14ac:dyDescent="0.2">
      <c r="A69" s="4" t="s">
        <v>85</v>
      </c>
      <c r="B69" s="5"/>
      <c r="C69" s="129"/>
      <c r="D69" s="130"/>
      <c r="E69" s="74"/>
      <c r="F69" s="43"/>
      <c r="G69" s="8"/>
      <c r="H69" s="11"/>
      <c r="I69" s="11"/>
      <c r="J69" s="11"/>
      <c r="K69" s="11"/>
      <c r="L69" s="13"/>
      <c r="M69" s="13"/>
      <c r="N69" s="11"/>
      <c r="O69" s="14">
        <f t="shared" si="21"/>
        <v>0</v>
      </c>
    </row>
    <row r="70" spans="1:15" ht="16.5" customHeight="1" x14ac:dyDescent="0.15">
      <c r="A70" s="6" t="s">
        <v>86</v>
      </c>
      <c r="B70" s="1" t="s">
        <v>17</v>
      </c>
      <c r="C70" s="7" t="s">
        <v>18</v>
      </c>
      <c r="D70" s="65">
        <v>490000</v>
      </c>
      <c r="E70" s="69">
        <v>600</v>
      </c>
      <c r="F70" s="44"/>
      <c r="G70" s="9"/>
      <c r="H70" s="15">
        <f>E70</f>
        <v>600</v>
      </c>
      <c r="I70" s="11"/>
      <c r="J70" s="99">
        <f>D70/H70</f>
        <v>816.66666666666663</v>
      </c>
      <c r="K70" s="13">
        <f t="shared" ref="K70:K72" si="22">J70*$K$2</f>
        <v>979.99999999999989</v>
      </c>
      <c r="L70" s="13"/>
      <c r="M70" s="13"/>
      <c r="N70" s="14">
        <f t="shared" ref="N70:N72" si="23">L70-J70</f>
        <v>-816.66666666666663</v>
      </c>
      <c r="O70" s="14">
        <f t="shared" si="21"/>
        <v>-490000</v>
      </c>
    </row>
    <row r="71" spans="1:15" ht="16.5" customHeight="1" x14ac:dyDescent="0.15">
      <c r="A71" s="6" t="s">
        <v>87</v>
      </c>
      <c r="B71" s="1" t="s">
        <v>17</v>
      </c>
      <c r="C71" s="7" t="s">
        <v>18</v>
      </c>
      <c r="D71" s="65">
        <v>528000</v>
      </c>
      <c r="E71" s="69">
        <v>600</v>
      </c>
      <c r="F71" s="44"/>
      <c r="G71" s="9"/>
      <c r="H71" s="15">
        <f t="shared" ref="H71:H72" si="24">E71</f>
        <v>600</v>
      </c>
      <c r="I71" s="11"/>
      <c r="J71" s="13">
        <f t="shared" ref="J71:J72" si="25">D71/H71</f>
        <v>880</v>
      </c>
      <c r="K71" s="13">
        <f t="shared" si="22"/>
        <v>1056</v>
      </c>
      <c r="L71" s="13"/>
      <c r="M71" s="13"/>
      <c r="N71" s="14">
        <f t="shared" si="23"/>
        <v>-880</v>
      </c>
      <c r="O71" s="14">
        <f t="shared" si="21"/>
        <v>-528000</v>
      </c>
    </row>
    <row r="72" spans="1:15" ht="16.5" customHeight="1" x14ac:dyDescent="0.15">
      <c r="A72" s="6" t="s">
        <v>88</v>
      </c>
      <c r="B72" s="1" t="s">
        <v>17</v>
      </c>
      <c r="C72" s="7" t="s">
        <v>18</v>
      </c>
      <c r="D72" s="65">
        <v>774000</v>
      </c>
      <c r="E72" s="69">
        <v>1000</v>
      </c>
      <c r="F72" s="44"/>
      <c r="G72" s="9"/>
      <c r="H72" s="15">
        <f t="shared" si="24"/>
        <v>1000</v>
      </c>
      <c r="I72" s="11"/>
      <c r="J72" s="13">
        <f t="shared" si="25"/>
        <v>774</v>
      </c>
      <c r="K72" s="13">
        <f t="shared" si="22"/>
        <v>928.8</v>
      </c>
      <c r="L72" s="13"/>
      <c r="M72" s="13"/>
      <c r="N72" s="14">
        <f t="shared" si="23"/>
        <v>-774</v>
      </c>
      <c r="O72" s="14">
        <f t="shared" si="21"/>
        <v>-774000</v>
      </c>
    </row>
    <row r="73" spans="1:15" ht="14" customHeight="1" x14ac:dyDescent="0.2">
      <c r="A73" s="5"/>
      <c r="B73" s="5"/>
      <c r="C73" s="129"/>
      <c r="D73" s="130"/>
      <c r="E73" s="74"/>
      <c r="F73" s="43"/>
      <c r="G73" s="8"/>
      <c r="H73" s="11"/>
      <c r="I73" s="11"/>
      <c r="J73" s="11"/>
      <c r="K73" s="11"/>
      <c r="L73" s="13"/>
      <c r="M73" s="13"/>
      <c r="N73" s="11"/>
      <c r="O73" s="14">
        <f t="shared" si="21"/>
        <v>0</v>
      </c>
    </row>
    <row r="74" spans="1:15" ht="16.5" customHeight="1" x14ac:dyDescent="0.2">
      <c r="A74" s="4" t="s">
        <v>89</v>
      </c>
      <c r="B74" s="5"/>
      <c r="C74" s="129"/>
      <c r="D74" s="130"/>
      <c r="E74" s="74"/>
      <c r="F74" s="43"/>
      <c r="G74" s="8"/>
      <c r="H74" s="11"/>
      <c r="I74" s="11"/>
      <c r="J74" s="11"/>
      <c r="K74" s="11"/>
      <c r="L74" s="13"/>
      <c r="M74" s="13"/>
      <c r="N74" s="11"/>
      <c r="O74" s="14">
        <f t="shared" si="21"/>
        <v>0</v>
      </c>
    </row>
    <row r="75" spans="1:15" ht="16.5" customHeight="1" x14ac:dyDescent="0.15">
      <c r="A75" s="6" t="s">
        <v>90</v>
      </c>
      <c r="B75" s="1" t="s">
        <v>91</v>
      </c>
      <c r="C75" s="7" t="s">
        <v>18</v>
      </c>
      <c r="D75" s="65">
        <v>54000</v>
      </c>
      <c r="E75" s="69">
        <v>100</v>
      </c>
      <c r="F75" s="44" t="s">
        <v>128</v>
      </c>
      <c r="G75" s="9"/>
      <c r="H75" s="15">
        <f>E75</f>
        <v>100</v>
      </c>
      <c r="I75" s="1" t="s">
        <v>91</v>
      </c>
      <c r="J75" s="13">
        <f t="shared" ref="J75:J81" si="26">D75/H75</f>
        <v>540</v>
      </c>
      <c r="K75" s="13">
        <f t="shared" ref="K75:K81" si="27">J75*$K$2</f>
        <v>648</v>
      </c>
      <c r="L75" s="13">
        <v>8000</v>
      </c>
      <c r="M75" s="13"/>
      <c r="N75" s="14">
        <f t="shared" ref="N75:N81" si="28">L75-J75</f>
        <v>7460</v>
      </c>
      <c r="O75" s="14">
        <f t="shared" si="21"/>
        <v>746000</v>
      </c>
    </row>
    <row r="76" spans="1:15" ht="16.5" customHeight="1" x14ac:dyDescent="0.15">
      <c r="A76" s="6" t="s">
        <v>92</v>
      </c>
      <c r="B76" s="1" t="s">
        <v>91</v>
      </c>
      <c r="C76" s="7" t="s">
        <v>18</v>
      </c>
      <c r="D76" s="65">
        <v>66000</v>
      </c>
      <c r="E76" s="69">
        <v>100</v>
      </c>
      <c r="F76" s="44" t="s">
        <v>129</v>
      </c>
      <c r="G76" s="9"/>
      <c r="H76" s="15">
        <f t="shared" ref="H76:H81" si="29">E76</f>
        <v>100</v>
      </c>
      <c r="I76" s="1" t="s">
        <v>91</v>
      </c>
      <c r="J76" s="13">
        <f t="shared" si="26"/>
        <v>660</v>
      </c>
      <c r="K76" s="13">
        <f t="shared" si="27"/>
        <v>792</v>
      </c>
      <c r="L76" s="13">
        <v>10000</v>
      </c>
      <c r="M76" s="13"/>
      <c r="N76" s="14">
        <f t="shared" si="28"/>
        <v>9340</v>
      </c>
      <c r="O76" s="14">
        <f t="shared" si="21"/>
        <v>934000</v>
      </c>
    </row>
    <row r="77" spans="1:15" ht="16.5" customHeight="1" x14ac:dyDescent="0.15">
      <c r="A77" s="6" t="s">
        <v>93</v>
      </c>
      <c r="B77" s="1" t="s">
        <v>91</v>
      </c>
      <c r="C77" s="7" t="s">
        <v>18</v>
      </c>
      <c r="D77" s="65">
        <v>85000</v>
      </c>
      <c r="E77" s="69">
        <v>100</v>
      </c>
      <c r="F77" s="44" t="s">
        <v>130</v>
      </c>
      <c r="G77" s="9"/>
      <c r="H77" s="15">
        <f t="shared" si="29"/>
        <v>100</v>
      </c>
      <c r="I77" s="1" t="s">
        <v>91</v>
      </c>
      <c r="J77" s="13">
        <f t="shared" si="26"/>
        <v>850</v>
      </c>
      <c r="K77" s="13">
        <f t="shared" si="27"/>
        <v>1020</v>
      </c>
      <c r="L77" s="13">
        <v>10000</v>
      </c>
      <c r="M77" s="13"/>
      <c r="N77" s="14">
        <f t="shared" si="28"/>
        <v>9150</v>
      </c>
      <c r="O77" s="14">
        <f t="shared" si="21"/>
        <v>915000</v>
      </c>
    </row>
    <row r="78" spans="1:15" ht="16.5" customHeight="1" x14ac:dyDescent="0.15">
      <c r="A78" s="6" t="s">
        <v>94</v>
      </c>
      <c r="B78" s="1" t="s">
        <v>91</v>
      </c>
      <c r="C78" s="7" t="s">
        <v>18</v>
      </c>
      <c r="D78" s="65">
        <v>107000</v>
      </c>
      <c r="E78" s="69">
        <v>100</v>
      </c>
      <c r="F78" s="44" t="s">
        <v>131</v>
      </c>
      <c r="G78" s="9"/>
      <c r="H78" s="15">
        <f t="shared" si="29"/>
        <v>100</v>
      </c>
      <c r="I78" s="1" t="s">
        <v>91</v>
      </c>
      <c r="J78" s="13">
        <f t="shared" si="26"/>
        <v>1070</v>
      </c>
      <c r="K78" s="13">
        <f t="shared" si="27"/>
        <v>1284</v>
      </c>
      <c r="L78" s="13">
        <v>15000</v>
      </c>
      <c r="M78" s="13"/>
      <c r="N78" s="14">
        <f t="shared" si="28"/>
        <v>13930</v>
      </c>
      <c r="O78" s="14">
        <f t="shared" si="21"/>
        <v>1393000</v>
      </c>
    </row>
    <row r="79" spans="1:15" ht="16.5" customHeight="1" x14ac:dyDescent="0.15">
      <c r="A79" s="6" t="s">
        <v>95</v>
      </c>
      <c r="B79" s="1" t="s">
        <v>91</v>
      </c>
      <c r="C79" s="7" t="s">
        <v>18</v>
      </c>
      <c r="D79" s="65">
        <v>89000</v>
      </c>
      <c r="E79" s="69">
        <v>100</v>
      </c>
      <c r="F79" s="44" t="s">
        <v>132</v>
      </c>
      <c r="G79" s="9"/>
      <c r="H79" s="15">
        <f t="shared" si="29"/>
        <v>100</v>
      </c>
      <c r="I79" s="1" t="s">
        <v>91</v>
      </c>
      <c r="J79" s="13">
        <f t="shared" si="26"/>
        <v>890</v>
      </c>
      <c r="K79" s="13">
        <f t="shared" si="27"/>
        <v>1068</v>
      </c>
      <c r="L79" s="13">
        <v>15000</v>
      </c>
      <c r="M79" s="13">
        <v>16000</v>
      </c>
      <c r="N79" s="14">
        <f t="shared" si="28"/>
        <v>14110</v>
      </c>
      <c r="O79" s="14">
        <f t="shared" si="21"/>
        <v>1411000</v>
      </c>
    </row>
    <row r="80" spans="1:15" ht="16.5" customHeight="1" x14ac:dyDescent="0.15">
      <c r="A80" s="6" t="s">
        <v>96</v>
      </c>
      <c r="B80" s="1" t="s">
        <v>91</v>
      </c>
      <c r="C80" s="7" t="s">
        <v>18</v>
      </c>
      <c r="D80" s="65">
        <v>105000</v>
      </c>
      <c r="E80" s="69">
        <v>100</v>
      </c>
      <c r="F80" s="44" t="s">
        <v>133</v>
      </c>
      <c r="G80" s="9"/>
      <c r="H80" s="15">
        <f t="shared" si="29"/>
        <v>100</v>
      </c>
      <c r="I80" s="1" t="s">
        <v>91</v>
      </c>
      <c r="J80" s="13">
        <f t="shared" si="26"/>
        <v>1050</v>
      </c>
      <c r="K80" s="13">
        <f t="shared" si="27"/>
        <v>1260</v>
      </c>
      <c r="L80" s="13">
        <v>17000</v>
      </c>
      <c r="M80" s="13">
        <v>18000</v>
      </c>
      <c r="N80" s="14">
        <f t="shared" si="28"/>
        <v>15950</v>
      </c>
      <c r="O80" s="14">
        <f t="shared" si="21"/>
        <v>1595000</v>
      </c>
    </row>
    <row r="81" spans="1:15" ht="16.5" customHeight="1" x14ac:dyDescent="0.15">
      <c r="A81" s="6" t="s">
        <v>97</v>
      </c>
      <c r="B81" s="1" t="s">
        <v>91</v>
      </c>
      <c r="C81" s="7" t="s">
        <v>18</v>
      </c>
      <c r="D81" s="65">
        <v>120000</v>
      </c>
      <c r="E81" s="69">
        <v>100</v>
      </c>
      <c r="F81" s="44" t="s">
        <v>134</v>
      </c>
      <c r="G81" s="9"/>
      <c r="H81" s="15">
        <f t="shared" si="29"/>
        <v>100</v>
      </c>
      <c r="I81" s="1" t="s">
        <v>91</v>
      </c>
      <c r="J81" s="13">
        <f t="shared" si="26"/>
        <v>1200</v>
      </c>
      <c r="K81" s="13">
        <f t="shared" si="27"/>
        <v>1440</v>
      </c>
      <c r="L81" s="13">
        <v>20000</v>
      </c>
      <c r="M81" s="13">
        <v>20000</v>
      </c>
      <c r="N81" s="14">
        <f t="shared" si="28"/>
        <v>18800</v>
      </c>
      <c r="O81" s="14">
        <f t="shared" si="21"/>
        <v>1880000</v>
      </c>
    </row>
    <row r="82" spans="1:15" ht="15" customHeight="1" x14ac:dyDescent="0.2">
      <c r="A82" s="5"/>
      <c r="B82" s="5"/>
      <c r="C82" s="129"/>
      <c r="D82" s="130"/>
      <c r="E82" s="74"/>
      <c r="F82" s="43"/>
      <c r="G82" s="8"/>
      <c r="H82" s="11"/>
      <c r="I82" s="11"/>
      <c r="J82" s="11"/>
      <c r="K82" s="11"/>
      <c r="L82" s="13"/>
      <c r="M82" s="13"/>
      <c r="N82" s="11"/>
      <c r="O82" s="14">
        <f t="shared" si="21"/>
        <v>0</v>
      </c>
    </row>
    <row r="83" spans="1:15" ht="16.5" customHeight="1" x14ac:dyDescent="0.2">
      <c r="A83" s="4" t="s">
        <v>98</v>
      </c>
      <c r="B83" s="5"/>
      <c r="C83" s="129"/>
      <c r="D83" s="130"/>
      <c r="E83" s="74"/>
      <c r="F83" s="43"/>
      <c r="G83" s="8"/>
      <c r="H83" s="11"/>
      <c r="I83" s="11"/>
      <c r="J83" s="11"/>
      <c r="K83" s="11"/>
      <c r="L83" s="13"/>
      <c r="M83" s="13"/>
      <c r="N83" s="11"/>
      <c r="O83" s="14">
        <f t="shared" si="21"/>
        <v>0</v>
      </c>
    </row>
    <row r="84" spans="1:15" ht="16.5" customHeight="1" x14ac:dyDescent="0.15">
      <c r="A84" s="6" t="s">
        <v>99</v>
      </c>
      <c r="B84" s="1" t="s">
        <v>100</v>
      </c>
      <c r="C84" s="7" t="s">
        <v>18</v>
      </c>
      <c r="D84" s="65">
        <v>590000</v>
      </c>
      <c r="E84" s="69">
        <v>1700</v>
      </c>
      <c r="F84" s="44"/>
      <c r="G84" s="9"/>
      <c r="H84" s="11">
        <f>E84/10</f>
        <v>170</v>
      </c>
      <c r="I84" s="11" t="s">
        <v>6</v>
      </c>
      <c r="J84" s="13">
        <f t="shared" ref="J84:J88" si="30">D84/H84</f>
        <v>3470.5882352941176</v>
      </c>
      <c r="K84" s="13">
        <f t="shared" ref="K84:K88" si="31">J84*$K$2</f>
        <v>4164.7058823529405</v>
      </c>
      <c r="L84" s="13">
        <v>5000</v>
      </c>
      <c r="M84" s="13">
        <v>4000</v>
      </c>
      <c r="N84" s="14">
        <f t="shared" ref="N84:N88" si="32">L84-J84</f>
        <v>1529.4117647058824</v>
      </c>
      <c r="O84" s="14">
        <f t="shared" si="21"/>
        <v>260000</v>
      </c>
    </row>
    <row r="85" spans="1:15" ht="16.5" customHeight="1" x14ac:dyDescent="0.15">
      <c r="A85" s="6" t="s">
        <v>101</v>
      </c>
      <c r="B85" s="1" t="s">
        <v>100</v>
      </c>
      <c r="C85" s="7" t="s">
        <v>18</v>
      </c>
      <c r="D85" s="65">
        <v>714000</v>
      </c>
      <c r="E85" s="69">
        <v>1400</v>
      </c>
      <c r="F85" s="44"/>
      <c r="G85" s="9"/>
      <c r="H85" s="11">
        <f t="shared" ref="H85:H88" si="33">E85/10</f>
        <v>140</v>
      </c>
      <c r="I85" s="11" t="s">
        <v>6</v>
      </c>
      <c r="J85" s="13">
        <f t="shared" si="30"/>
        <v>5100</v>
      </c>
      <c r="K85" s="13">
        <f t="shared" si="31"/>
        <v>6120</v>
      </c>
      <c r="L85" s="13">
        <v>6000</v>
      </c>
      <c r="M85" s="13">
        <v>7000</v>
      </c>
      <c r="N85" s="14">
        <f t="shared" si="32"/>
        <v>900</v>
      </c>
      <c r="O85" s="14">
        <f t="shared" si="21"/>
        <v>126000</v>
      </c>
    </row>
    <row r="86" spans="1:15" ht="16.5" customHeight="1" x14ac:dyDescent="0.15">
      <c r="A86" s="6" t="s">
        <v>102</v>
      </c>
      <c r="B86" s="1" t="s">
        <v>100</v>
      </c>
      <c r="C86" s="7" t="s">
        <v>18</v>
      </c>
      <c r="D86" s="65">
        <v>684000</v>
      </c>
      <c r="E86" s="69">
        <v>800</v>
      </c>
      <c r="F86" s="44"/>
      <c r="G86" s="9"/>
      <c r="H86" s="11">
        <f t="shared" si="33"/>
        <v>80</v>
      </c>
      <c r="I86" s="11" t="s">
        <v>6</v>
      </c>
      <c r="J86" s="13">
        <f t="shared" si="30"/>
        <v>8550</v>
      </c>
      <c r="K86" s="13">
        <f t="shared" si="31"/>
        <v>10260</v>
      </c>
      <c r="L86" s="13">
        <v>10000</v>
      </c>
      <c r="M86" s="13">
        <v>9250</v>
      </c>
      <c r="N86" s="14">
        <f t="shared" si="32"/>
        <v>1450</v>
      </c>
      <c r="O86" s="14">
        <f t="shared" si="21"/>
        <v>116000</v>
      </c>
    </row>
    <row r="87" spans="1:15" ht="16.5" customHeight="1" x14ac:dyDescent="0.15">
      <c r="A87" s="6" t="s">
        <v>103</v>
      </c>
      <c r="B87" s="1" t="s">
        <v>100</v>
      </c>
      <c r="C87" s="7" t="s">
        <v>18</v>
      </c>
      <c r="D87" s="65">
        <v>1180900</v>
      </c>
      <c r="E87" s="69">
        <v>700</v>
      </c>
      <c r="F87" s="44"/>
      <c r="G87" s="9"/>
      <c r="H87" s="11">
        <f t="shared" si="33"/>
        <v>70</v>
      </c>
      <c r="I87" s="11" t="s">
        <v>6</v>
      </c>
      <c r="J87" s="13">
        <f t="shared" si="30"/>
        <v>16870</v>
      </c>
      <c r="K87" s="13">
        <f t="shared" si="31"/>
        <v>20244</v>
      </c>
      <c r="L87" s="13"/>
      <c r="M87" s="13"/>
      <c r="N87" s="14">
        <f t="shared" si="32"/>
        <v>-16870</v>
      </c>
      <c r="O87" s="14">
        <f t="shared" si="21"/>
        <v>-1180900</v>
      </c>
    </row>
    <row r="88" spans="1:15" ht="16.5" customHeight="1" x14ac:dyDescent="0.15">
      <c r="A88" s="6" t="s">
        <v>104</v>
      </c>
      <c r="B88" s="1" t="s">
        <v>68</v>
      </c>
      <c r="C88" s="7" t="s">
        <v>18</v>
      </c>
      <c r="D88" s="65">
        <v>150000</v>
      </c>
      <c r="E88" s="69">
        <v>100</v>
      </c>
      <c r="F88" s="44"/>
      <c r="G88" s="9"/>
      <c r="H88" s="11">
        <f t="shared" si="33"/>
        <v>10</v>
      </c>
      <c r="I88" s="11" t="s">
        <v>6</v>
      </c>
      <c r="J88" s="13">
        <f t="shared" si="30"/>
        <v>15000</v>
      </c>
      <c r="K88" s="13">
        <f t="shared" si="31"/>
        <v>18000</v>
      </c>
      <c r="L88" s="13">
        <v>20000</v>
      </c>
      <c r="M88" s="13">
        <v>19500</v>
      </c>
      <c r="N88" s="14">
        <f t="shared" si="32"/>
        <v>5000</v>
      </c>
      <c r="O88" s="14">
        <f t="shared" si="21"/>
        <v>50000</v>
      </c>
    </row>
    <row r="89" spans="1:15" ht="14" customHeight="1" x14ac:dyDescent="0.2">
      <c r="A89" s="5"/>
      <c r="B89" s="5"/>
      <c r="C89" s="129"/>
      <c r="D89" s="130"/>
      <c r="E89" s="74"/>
      <c r="F89" s="43"/>
      <c r="G89" s="8"/>
      <c r="H89" s="11"/>
      <c r="I89" s="11"/>
      <c r="J89" s="11"/>
      <c r="K89" s="11"/>
      <c r="L89" s="13"/>
      <c r="M89" s="13"/>
      <c r="N89" s="11"/>
      <c r="O89" s="14">
        <f t="shared" si="21"/>
        <v>0</v>
      </c>
    </row>
    <row r="90" spans="1:15" ht="16.5" customHeight="1" x14ac:dyDescent="0.2">
      <c r="A90" s="4" t="s">
        <v>105</v>
      </c>
      <c r="B90" s="5"/>
      <c r="C90" s="129"/>
      <c r="D90" s="130"/>
      <c r="E90" s="74"/>
      <c r="F90" s="43"/>
      <c r="G90" s="8"/>
      <c r="H90" s="11"/>
      <c r="I90" s="11"/>
      <c r="J90" s="11"/>
      <c r="K90" s="11"/>
      <c r="L90" s="13"/>
      <c r="M90" s="13"/>
      <c r="N90" s="11"/>
      <c r="O90" s="14">
        <f t="shared" si="21"/>
        <v>0</v>
      </c>
    </row>
    <row r="91" spans="1:15" ht="16.5" customHeight="1" x14ac:dyDescent="0.15">
      <c r="A91" s="6" t="s">
        <v>106</v>
      </c>
      <c r="B91" s="1" t="s">
        <v>17</v>
      </c>
      <c r="C91" s="7" t="s">
        <v>18</v>
      </c>
      <c r="D91" s="65">
        <v>202000</v>
      </c>
      <c r="E91" s="69">
        <v>24</v>
      </c>
      <c r="F91" s="44"/>
      <c r="G91" s="9"/>
      <c r="H91" s="15">
        <f>E91</f>
        <v>24</v>
      </c>
      <c r="I91" s="11" t="s">
        <v>6</v>
      </c>
      <c r="J91" s="13">
        <f t="shared" ref="J91:J107" si="34">D91/H91</f>
        <v>8416.6666666666661</v>
      </c>
      <c r="K91" s="13">
        <f t="shared" ref="K91:K116" si="35">J91*$K$2</f>
        <v>10099.999999999998</v>
      </c>
      <c r="L91" s="13"/>
      <c r="M91" s="13">
        <v>9150</v>
      </c>
      <c r="N91" s="14">
        <f t="shared" ref="N91:N107" si="36">L91-J91</f>
        <v>-8416.6666666666661</v>
      </c>
      <c r="O91" s="14">
        <f t="shared" si="21"/>
        <v>-202000</v>
      </c>
    </row>
    <row r="92" spans="1:15" ht="16.5" customHeight="1" x14ac:dyDescent="0.15">
      <c r="A92" s="6" t="s">
        <v>107</v>
      </c>
      <c r="B92" s="1" t="s">
        <v>17</v>
      </c>
      <c r="C92" s="7" t="s">
        <v>18</v>
      </c>
      <c r="D92" s="65">
        <v>190000</v>
      </c>
      <c r="E92" s="69">
        <v>60</v>
      </c>
      <c r="F92" s="44"/>
      <c r="G92" s="9"/>
      <c r="H92" s="15">
        <f t="shared" ref="H92:H101" si="37">E92</f>
        <v>60</v>
      </c>
      <c r="I92" s="11" t="s">
        <v>6</v>
      </c>
      <c r="J92" s="13">
        <f t="shared" si="34"/>
        <v>3166.6666666666665</v>
      </c>
      <c r="K92" s="13">
        <f t="shared" si="35"/>
        <v>3799.9999999999995</v>
      </c>
      <c r="L92" s="13"/>
      <c r="M92" s="13"/>
      <c r="N92" s="14">
        <f t="shared" si="36"/>
        <v>-3166.6666666666665</v>
      </c>
      <c r="O92" s="14">
        <f t="shared" si="21"/>
        <v>-190000</v>
      </c>
    </row>
    <row r="93" spans="1:15" ht="16.5" customHeight="1" x14ac:dyDescent="0.15">
      <c r="A93" s="6" t="s">
        <v>108</v>
      </c>
      <c r="B93" s="1" t="s">
        <v>17</v>
      </c>
      <c r="C93" s="7" t="s">
        <v>18</v>
      </c>
      <c r="D93" s="65">
        <v>510000</v>
      </c>
      <c r="E93" s="69">
        <v>48</v>
      </c>
      <c r="F93" s="44"/>
      <c r="G93" s="9"/>
      <c r="H93" s="15">
        <f t="shared" si="37"/>
        <v>48</v>
      </c>
      <c r="I93" s="11" t="s">
        <v>6</v>
      </c>
      <c r="J93" s="13">
        <f t="shared" si="34"/>
        <v>10625</v>
      </c>
      <c r="K93" s="13">
        <f t="shared" si="35"/>
        <v>12750</v>
      </c>
      <c r="L93" s="13"/>
      <c r="M93" s="13"/>
      <c r="N93" s="14">
        <f t="shared" si="36"/>
        <v>-10625</v>
      </c>
      <c r="O93" s="14">
        <f t="shared" si="21"/>
        <v>-510000</v>
      </c>
    </row>
    <row r="94" spans="1:15" ht="16.5" customHeight="1" x14ac:dyDescent="0.15">
      <c r="A94" s="6" t="s">
        <v>109</v>
      </c>
      <c r="B94" s="1" t="s">
        <v>17</v>
      </c>
      <c r="C94" s="7" t="s">
        <v>18</v>
      </c>
      <c r="D94" s="65">
        <v>390000</v>
      </c>
      <c r="E94" s="69">
        <v>60</v>
      </c>
      <c r="F94" s="44"/>
      <c r="G94" s="9"/>
      <c r="H94" s="15">
        <f t="shared" si="37"/>
        <v>60</v>
      </c>
      <c r="I94" s="11" t="s">
        <v>6</v>
      </c>
      <c r="J94" s="13">
        <f t="shared" si="34"/>
        <v>6500</v>
      </c>
      <c r="K94" s="13">
        <f t="shared" si="35"/>
        <v>7800</v>
      </c>
      <c r="L94" s="13"/>
      <c r="M94" s="13">
        <v>7250</v>
      </c>
      <c r="N94" s="14">
        <f t="shared" si="36"/>
        <v>-6500</v>
      </c>
      <c r="O94" s="14">
        <f t="shared" si="21"/>
        <v>-390000</v>
      </c>
    </row>
    <row r="95" spans="1:15" ht="16.5" customHeight="1" x14ac:dyDescent="0.15">
      <c r="A95" s="6" t="s">
        <v>110</v>
      </c>
      <c r="B95" s="1" t="s">
        <v>17</v>
      </c>
      <c r="C95" s="7" t="s">
        <v>18</v>
      </c>
      <c r="D95" s="65">
        <v>194000</v>
      </c>
      <c r="E95" s="69">
        <v>6</v>
      </c>
      <c r="F95" s="44"/>
      <c r="G95" s="9"/>
      <c r="H95" s="15">
        <f t="shared" si="37"/>
        <v>6</v>
      </c>
      <c r="I95" s="11" t="s">
        <v>6</v>
      </c>
      <c r="J95" s="13">
        <f t="shared" si="34"/>
        <v>32333.333333333332</v>
      </c>
      <c r="K95" s="13">
        <f t="shared" si="35"/>
        <v>38800</v>
      </c>
      <c r="L95" s="13"/>
      <c r="M95" s="13">
        <v>32500</v>
      </c>
      <c r="N95" s="14">
        <f t="shared" si="36"/>
        <v>-32333.333333333332</v>
      </c>
      <c r="O95" s="14">
        <f t="shared" si="21"/>
        <v>-194000</v>
      </c>
    </row>
    <row r="96" spans="1:15" ht="16.5" customHeight="1" x14ac:dyDescent="0.15">
      <c r="A96" s="6" t="s">
        <v>111</v>
      </c>
      <c r="B96" s="1" t="s">
        <v>17</v>
      </c>
      <c r="C96" s="7" t="s">
        <v>18</v>
      </c>
      <c r="D96" s="65">
        <v>267000</v>
      </c>
      <c r="E96" s="69">
        <v>12</v>
      </c>
      <c r="F96" s="44"/>
      <c r="G96" s="9"/>
      <c r="H96" s="15">
        <f t="shared" si="37"/>
        <v>12</v>
      </c>
      <c r="I96" s="11" t="s">
        <v>6</v>
      </c>
      <c r="J96" s="13">
        <f t="shared" si="34"/>
        <v>22250</v>
      </c>
      <c r="K96" s="13">
        <f t="shared" si="35"/>
        <v>26700</v>
      </c>
      <c r="L96" s="13"/>
      <c r="M96" s="13"/>
      <c r="N96" s="14">
        <f t="shared" si="36"/>
        <v>-22250</v>
      </c>
      <c r="O96" s="14">
        <f t="shared" si="21"/>
        <v>-267000</v>
      </c>
    </row>
    <row r="97" spans="1:15" ht="16.5" customHeight="1" x14ac:dyDescent="0.15">
      <c r="A97" s="6" t="s">
        <v>112</v>
      </c>
      <c r="B97" s="1" t="s">
        <v>17</v>
      </c>
      <c r="C97" s="7" t="s">
        <v>18</v>
      </c>
      <c r="D97" s="65">
        <v>820000</v>
      </c>
      <c r="E97" s="69">
        <v>20</v>
      </c>
      <c r="F97" s="44"/>
      <c r="G97" s="9"/>
      <c r="H97" s="15">
        <f t="shared" si="37"/>
        <v>20</v>
      </c>
      <c r="I97" s="11" t="s">
        <v>6</v>
      </c>
      <c r="J97" s="13">
        <f t="shared" si="34"/>
        <v>41000</v>
      </c>
      <c r="K97" s="13">
        <f t="shared" si="35"/>
        <v>49200</v>
      </c>
      <c r="L97" s="13"/>
      <c r="M97" s="13"/>
      <c r="N97" s="14">
        <f t="shared" si="36"/>
        <v>-41000</v>
      </c>
      <c r="O97" s="14">
        <f t="shared" si="21"/>
        <v>-820000</v>
      </c>
    </row>
    <row r="98" spans="1:15" ht="16.5" customHeight="1" x14ac:dyDescent="0.15">
      <c r="A98" s="6" t="s">
        <v>113</v>
      </c>
      <c r="B98" s="1" t="s">
        <v>17</v>
      </c>
      <c r="C98" s="7" t="s">
        <v>18</v>
      </c>
      <c r="D98" s="65">
        <v>410500</v>
      </c>
      <c r="E98" s="69">
        <v>12</v>
      </c>
      <c r="F98" s="44"/>
      <c r="G98" s="9"/>
      <c r="H98" s="15">
        <f t="shared" si="37"/>
        <v>12</v>
      </c>
      <c r="I98" s="11" t="s">
        <v>6</v>
      </c>
      <c r="J98" s="13">
        <f t="shared" si="34"/>
        <v>34208.333333333336</v>
      </c>
      <c r="K98" s="13">
        <f t="shared" si="35"/>
        <v>41050</v>
      </c>
      <c r="L98" s="13"/>
      <c r="M98" s="13"/>
      <c r="N98" s="14">
        <f t="shared" si="36"/>
        <v>-34208.333333333336</v>
      </c>
      <c r="O98" s="14">
        <f t="shared" si="21"/>
        <v>-410500</v>
      </c>
    </row>
    <row r="99" spans="1:15" ht="16.5" customHeight="1" x14ac:dyDescent="0.15">
      <c r="A99" s="6" t="s">
        <v>114</v>
      </c>
      <c r="B99" s="1" t="s">
        <v>17</v>
      </c>
      <c r="C99" s="7" t="s">
        <v>18</v>
      </c>
      <c r="D99" s="65">
        <v>290000</v>
      </c>
      <c r="E99" s="69">
        <v>24</v>
      </c>
      <c r="F99" s="44"/>
      <c r="G99" s="9"/>
      <c r="H99" s="15">
        <f t="shared" si="37"/>
        <v>24</v>
      </c>
      <c r="I99" s="11" t="s">
        <v>6</v>
      </c>
      <c r="J99" s="13">
        <f t="shared" si="34"/>
        <v>12083.333333333334</v>
      </c>
      <c r="K99" s="13">
        <f t="shared" si="35"/>
        <v>14500</v>
      </c>
      <c r="L99" s="13"/>
      <c r="M99" s="13"/>
      <c r="N99" s="14">
        <f t="shared" si="36"/>
        <v>-12083.333333333334</v>
      </c>
      <c r="O99" s="14">
        <f t="shared" si="21"/>
        <v>-290000</v>
      </c>
    </row>
    <row r="100" spans="1:15" ht="16.5" customHeight="1" x14ac:dyDescent="0.15">
      <c r="A100" s="6" t="s">
        <v>115</v>
      </c>
      <c r="B100" s="1" t="s">
        <v>17</v>
      </c>
      <c r="C100" s="7" t="s">
        <v>18</v>
      </c>
      <c r="D100" s="65">
        <v>377000</v>
      </c>
      <c r="E100" s="69">
        <v>48</v>
      </c>
      <c r="F100" s="44"/>
      <c r="G100" s="9"/>
      <c r="H100" s="15">
        <f t="shared" si="37"/>
        <v>48</v>
      </c>
      <c r="I100" s="11" t="s">
        <v>6</v>
      </c>
      <c r="J100" s="13">
        <f t="shared" si="34"/>
        <v>7854.166666666667</v>
      </c>
      <c r="K100" s="13">
        <f t="shared" si="35"/>
        <v>9425</v>
      </c>
      <c r="L100" s="13">
        <v>9000</v>
      </c>
      <c r="M100" s="13">
        <v>8900</v>
      </c>
      <c r="N100" s="14">
        <f t="shared" si="36"/>
        <v>1145.833333333333</v>
      </c>
      <c r="O100" s="14">
        <f t="shared" si="21"/>
        <v>54999.999999999985</v>
      </c>
    </row>
    <row r="101" spans="1:15" ht="16.5" customHeight="1" x14ac:dyDescent="0.15">
      <c r="A101" s="6" t="s">
        <v>116</v>
      </c>
      <c r="B101" s="1" t="s">
        <v>17</v>
      </c>
      <c r="C101" s="7" t="s">
        <v>18</v>
      </c>
      <c r="D101" s="65">
        <v>288000</v>
      </c>
      <c r="E101" s="69">
        <v>100</v>
      </c>
      <c r="F101" s="44"/>
      <c r="G101" s="9"/>
      <c r="H101" s="15">
        <f t="shared" si="37"/>
        <v>100</v>
      </c>
      <c r="I101" s="11" t="s">
        <v>6</v>
      </c>
      <c r="J101" s="13">
        <f t="shared" si="34"/>
        <v>2880</v>
      </c>
      <c r="K101" s="13">
        <f t="shared" si="35"/>
        <v>3456</v>
      </c>
      <c r="L101" s="13">
        <v>4000</v>
      </c>
      <c r="M101" s="13">
        <v>2800</v>
      </c>
      <c r="N101" s="14">
        <f t="shared" si="36"/>
        <v>1120</v>
      </c>
      <c r="O101" s="14">
        <f t="shared" si="21"/>
        <v>112000</v>
      </c>
    </row>
    <row r="102" spans="1:15" ht="15" customHeight="1" x14ac:dyDescent="0.2">
      <c r="A102" s="5"/>
      <c r="B102" s="5"/>
      <c r="C102" s="129"/>
      <c r="D102" s="130"/>
      <c r="E102" s="74"/>
      <c r="F102" s="43"/>
      <c r="G102" s="8"/>
      <c r="H102" s="11"/>
      <c r="I102" s="11"/>
      <c r="J102" s="13"/>
      <c r="K102" s="13"/>
      <c r="L102" s="13"/>
      <c r="M102" s="13"/>
      <c r="N102" s="14"/>
      <c r="O102" s="14">
        <f t="shared" si="21"/>
        <v>0</v>
      </c>
    </row>
    <row r="103" spans="1:15" ht="16.5" customHeight="1" x14ac:dyDescent="0.2">
      <c r="A103" s="4" t="s">
        <v>117</v>
      </c>
      <c r="B103" s="5"/>
      <c r="C103" s="129"/>
      <c r="D103" s="130"/>
      <c r="E103" s="74"/>
      <c r="F103" s="43"/>
      <c r="G103" s="8"/>
      <c r="H103" s="11"/>
      <c r="I103" s="11"/>
      <c r="J103" s="13"/>
      <c r="K103" s="13"/>
      <c r="L103" s="13"/>
      <c r="M103" s="13"/>
      <c r="N103" s="14"/>
      <c r="O103" s="14">
        <f t="shared" si="21"/>
        <v>0</v>
      </c>
    </row>
    <row r="104" spans="1:15" ht="16.5" customHeight="1" x14ac:dyDescent="0.2">
      <c r="A104" s="6" t="s">
        <v>118</v>
      </c>
      <c r="B104" s="5"/>
      <c r="C104" s="7" t="s">
        <v>18</v>
      </c>
      <c r="D104" s="65">
        <v>180000</v>
      </c>
      <c r="E104" s="69">
        <v>20</v>
      </c>
      <c r="F104" s="44"/>
      <c r="G104" s="9"/>
      <c r="H104" s="15">
        <f>E104</f>
        <v>20</v>
      </c>
      <c r="I104" s="11" t="s">
        <v>6</v>
      </c>
      <c r="J104" s="13">
        <f t="shared" si="34"/>
        <v>9000</v>
      </c>
      <c r="K104" s="13">
        <f t="shared" si="35"/>
        <v>10800</v>
      </c>
      <c r="L104" s="13">
        <v>11000</v>
      </c>
      <c r="M104" s="13"/>
      <c r="N104" s="14">
        <f t="shared" si="36"/>
        <v>2000</v>
      </c>
      <c r="O104" s="14">
        <f t="shared" si="21"/>
        <v>40000</v>
      </c>
    </row>
    <row r="105" spans="1:15" ht="16.5" customHeight="1" x14ac:dyDescent="0.2">
      <c r="A105" s="6" t="s">
        <v>119</v>
      </c>
      <c r="B105" s="5"/>
      <c r="C105" s="7" t="s">
        <v>18</v>
      </c>
      <c r="D105" s="65">
        <v>315000</v>
      </c>
      <c r="E105" s="69">
        <v>30</v>
      </c>
      <c r="F105" s="44"/>
      <c r="G105" s="9"/>
      <c r="H105" s="15">
        <f t="shared" ref="H105:H107" si="38">E105</f>
        <v>30</v>
      </c>
      <c r="I105" s="11" t="s">
        <v>6</v>
      </c>
      <c r="J105" s="13">
        <f t="shared" si="34"/>
        <v>10500</v>
      </c>
      <c r="K105" s="13">
        <f t="shared" si="35"/>
        <v>12600</v>
      </c>
      <c r="L105" s="13">
        <v>13000</v>
      </c>
      <c r="M105" s="13"/>
      <c r="N105" s="14">
        <f t="shared" si="36"/>
        <v>2500</v>
      </c>
      <c r="O105" s="14">
        <f t="shared" si="21"/>
        <v>75000</v>
      </c>
    </row>
    <row r="106" spans="1:15" ht="16.5" customHeight="1" x14ac:dyDescent="0.2">
      <c r="A106" s="6" t="s">
        <v>120</v>
      </c>
      <c r="B106" s="5"/>
      <c r="C106" s="7" t="s">
        <v>18</v>
      </c>
      <c r="D106" s="65">
        <v>40000</v>
      </c>
      <c r="E106" s="69">
        <v>1</v>
      </c>
      <c r="F106" s="44"/>
      <c r="G106" s="9"/>
      <c r="H106" s="15">
        <f t="shared" si="38"/>
        <v>1</v>
      </c>
      <c r="I106" s="11" t="s">
        <v>6</v>
      </c>
      <c r="J106" s="13">
        <f t="shared" si="34"/>
        <v>40000</v>
      </c>
      <c r="K106" s="13">
        <f t="shared" si="35"/>
        <v>48000</v>
      </c>
      <c r="L106" s="13"/>
      <c r="M106" s="13"/>
      <c r="N106" s="14">
        <f t="shared" si="36"/>
        <v>-40000</v>
      </c>
      <c r="O106" s="14">
        <f t="shared" si="21"/>
        <v>-40000</v>
      </c>
    </row>
    <row r="107" spans="1:15" ht="16.5" customHeight="1" x14ac:dyDescent="0.2">
      <c r="A107" s="6" t="s">
        <v>121</v>
      </c>
      <c r="B107" s="5"/>
      <c r="C107" s="7" t="s">
        <v>18</v>
      </c>
      <c r="D107" s="65">
        <v>40000</v>
      </c>
      <c r="E107" s="69">
        <v>1</v>
      </c>
      <c r="F107" s="44"/>
      <c r="G107" s="9"/>
      <c r="H107" s="15">
        <f t="shared" si="38"/>
        <v>1</v>
      </c>
      <c r="I107" s="11" t="s">
        <v>6</v>
      </c>
      <c r="J107" s="13">
        <f t="shared" si="34"/>
        <v>40000</v>
      </c>
      <c r="K107" s="13">
        <f t="shared" si="35"/>
        <v>48000</v>
      </c>
      <c r="L107" s="13"/>
      <c r="M107" s="13"/>
      <c r="N107" s="14">
        <f t="shared" si="36"/>
        <v>-40000</v>
      </c>
      <c r="O107" s="14">
        <f t="shared" si="21"/>
        <v>-40000</v>
      </c>
    </row>
    <row r="108" spans="1:15" ht="14" customHeight="1" x14ac:dyDescent="0.2">
      <c r="A108" s="5"/>
      <c r="B108" s="5"/>
      <c r="C108" s="129"/>
      <c r="D108" s="130"/>
      <c r="E108" s="74"/>
      <c r="F108" s="43"/>
      <c r="G108" s="8"/>
      <c r="H108" s="11"/>
      <c r="I108" s="11"/>
      <c r="J108" s="13"/>
      <c r="K108" s="13"/>
      <c r="L108" s="13"/>
      <c r="M108" s="13"/>
      <c r="N108" s="14"/>
      <c r="O108" s="14"/>
    </row>
    <row r="109" spans="1:15" ht="16.5" customHeight="1" x14ac:dyDescent="0.2">
      <c r="A109" s="4" t="s">
        <v>122</v>
      </c>
      <c r="B109" s="5"/>
      <c r="C109" s="129"/>
      <c r="D109" s="130"/>
      <c r="E109" s="74"/>
      <c r="F109" s="43"/>
      <c r="G109" s="8"/>
      <c r="H109" s="11"/>
      <c r="I109" s="11"/>
      <c r="J109" s="13"/>
      <c r="K109" s="13"/>
      <c r="L109" s="13"/>
      <c r="M109" s="13"/>
      <c r="N109" s="14"/>
      <c r="O109" s="14"/>
    </row>
    <row r="110" spans="1:15" ht="16.5" customHeight="1" x14ac:dyDescent="0.2">
      <c r="A110" s="6" t="s">
        <v>123</v>
      </c>
      <c r="B110" s="5"/>
      <c r="C110" s="7" t="s">
        <v>18</v>
      </c>
      <c r="D110" s="65">
        <v>510000</v>
      </c>
      <c r="E110" s="69">
        <v>20</v>
      </c>
      <c r="F110" s="44"/>
      <c r="G110" s="9"/>
      <c r="H110" s="15">
        <f>E110</f>
        <v>20</v>
      </c>
      <c r="I110" s="11" t="s">
        <v>6</v>
      </c>
      <c r="J110" s="13">
        <f t="shared" ref="J110:J111" si="39">D110/H110</f>
        <v>25500</v>
      </c>
      <c r="K110" s="13">
        <f t="shared" si="35"/>
        <v>30600</v>
      </c>
      <c r="L110" s="13"/>
      <c r="M110" s="13"/>
      <c r="N110" s="14">
        <f t="shared" ref="N110:N116" si="40">L110-J110</f>
        <v>-25500</v>
      </c>
      <c r="O110" s="14">
        <f t="shared" si="21"/>
        <v>-510000</v>
      </c>
    </row>
    <row r="111" spans="1:15" ht="16.5" customHeight="1" x14ac:dyDescent="0.2">
      <c r="A111" s="34" t="s">
        <v>124</v>
      </c>
      <c r="B111" s="35"/>
      <c r="C111" s="36" t="s">
        <v>18</v>
      </c>
      <c r="D111" s="66">
        <v>505000</v>
      </c>
      <c r="E111" s="70">
        <v>20</v>
      </c>
      <c r="F111" s="44"/>
      <c r="G111" s="9"/>
      <c r="H111" s="37">
        <f>E111</f>
        <v>20</v>
      </c>
      <c r="I111" s="38" t="s">
        <v>6</v>
      </c>
      <c r="J111" s="39">
        <f t="shared" si="39"/>
        <v>25250</v>
      </c>
      <c r="K111" s="39">
        <f t="shared" si="35"/>
        <v>30300</v>
      </c>
      <c r="L111" s="39">
        <v>27000</v>
      </c>
      <c r="M111" s="39">
        <v>26000</v>
      </c>
      <c r="N111" s="40">
        <f t="shared" si="40"/>
        <v>1750</v>
      </c>
      <c r="O111" s="14">
        <f t="shared" si="21"/>
        <v>35000</v>
      </c>
    </row>
    <row r="112" spans="1:15" x14ac:dyDescent="0.15">
      <c r="A112" s="11"/>
      <c r="B112" s="11"/>
      <c r="C112" s="41"/>
      <c r="D112" s="46"/>
      <c r="E112" s="75"/>
      <c r="F112" s="11"/>
      <c r="H112" s="11"/>
      <c r="I112" s="11"/>
      <c r="J112" s="11"/>
      <c r="K112" s="39"/>
      <c r="L112" s="13"/>
      <c r="M112" s="13"/>
      <c r="N112" s="40"/>
      <c r="O112" s="14"/>
    </row>
    <row r="113" spans="1:15" x14ac:dyDescent="0.15">
      <c r="A113" s="24" t="s">
        <v>135</v>
      </c>
      <c r="B113" s="11"/>
      <c r="C113" s="41"/>
      <c r="D113" s="46"/>
      <c r="E113" s="75"/>
      <c r="F113" s="11"/>
      <c r="H113" s="11"/>
      <c r="I113" s="11"/>
      <c r="J113" s="11"/>
      <c r="K113" s="39"/>
      <c r="L113" s="13"/>
      <c r="M113" s="13"/>
      <c r="N113" s="40"/>
      <c r="O113" s="14"/>
    </row>
    <row r="114" spans="1:15" x14ac:dyDescent="0.15">
      <c r="A114" s="11" t="s">
        <v>136</v>
      </c>
      <c r="B114" s="11" t="s">
        <v>17</v>
      </c>
      <c r="C114" s="41" t="s">
        <v>18</v>
      </c>
      <c r="D114" s="46">
        <v>165199</v>
      </c>
      <c r="E114" s="75">
        <v>60</v>
      </c>
      <c r="F114" s="11"/>
      <c r="H114" s="11">
        <f>E114</f>
        <v>60</v>
      </c>
      <c r="I114" s="11"/>
      <c r="J114" s="13">
        <f>D114/H114</f>
        <v>2753.3166666666666</v>
      </c>
      <c r="K114" s="13">
        <f t="shared" si="35"/>
        <v>3303.98</v>
      </c>
      <c r="L114" s="13"/>
      <c r="M114" s="13">
        <v>3000</v>
      </c>
      <c r="N114" s="14">
        <f t="shared" si="40"/>
        <v>-2753.3166666666666</v>
      </c>
      <c r="O114" s="14">
        <f t="shared" si="21"/>
        <v>-165199</v>
      </c>
    </row>
    <row r="115" spans="1:15" x14ac:dyDescent="0.15">
      <c r="A115" s="11" t="s">
        <v>138</v>
      </c>
      <c r="B115" s="11" t="s">
        <v>17</v>
      </c>
      <c r="C115" s="41" t="s">
        <v>18</v>
      </c>
      <c r="D115" s="46">
        <v>388899</v>
      </c>
      <c r="E115" s="75">
        <v>60</v>
      </c>
      <c r="F115" s="11"/>
      <c r="H115" s="11">
        <f t="shared" ref="H115:H116" si="41">E115</f>
        <v>60</v>
      </c>
      <c r="I115" s="11"/>
      <c r="J115" s="13">
        <f t="shared" ref="J115:J116" si="42">D115/H115</f>
        <v>6481.65</v>
      </c>
      <c r="K115" s="13">
        <f t="shared" si="35"/>
        <v>7777.98</v>
      </c>
      <c r="L115" s="13"/>
      <c r="M115" s="13">
        <v>7000</v>
      </c>
      <c r="N115" s="14">
        <f t="shared" si="40"/>
        <v>-6481.65</v>
      </c>
      <c r="O115" s="14">
        <f t="shared" si="21"/>
        <v>-388899</v>
      </c>
    </row>
    <row r="116" spans="1:15" x14ac:dyDescent="0.15">
      <c r="A116" s="11" t="s">
        <v>137</v>
      </c>
      <c r="B116" s="11" t="s">
        <v>17</v>
      </c>
      <c r="C116" s="41" t="s">
        <v>18</v>
      </c>
      <c r="D116" s="46">
        <v>467499</v>
      </c>
      <c r="E116" s="75">
        <v>60</v>
      </c>
      <c r="F116" s="11"/>
      <c r="H116" s="11">
        <f t="shared" si="41"/>
        <v>60</v>
      </c>
      <c r="I116" s="11"/>
      <c r="J116" s="13">
        <f t="shared" si="42"/>
        <v>7791.65</v>
      </c>
      <c r="K116" s="13">
        <f t="shared" si="35"/>
        <v>9349.98</v>
      </c>
      <c r="L116" s="13"/>
      <c r="M116" s="13">
        <v>8000</v>
      </c>
      <c r="N116" s="14">
        <f t="shared" si="40"/>
        <v>-7791.65</v>
      </c>
      <c r="O116" s="14">
        <f t="shared" si="21"/>
        <v>-467499</v>
      </c>
    </row>
    <row r="117" spans="1:15" x14ac:dyDescent="0.15">
      <c r="D117" s="50"/>
      <c r="F117" s="11"/>
      <c r="H117" s="11"/>
      <c r="I117" s="11"/>
      <c r="J117" s="13"/>
      <c r="K117" s="13"/>
      <c r="L117" s="13"/>
      <c r="M117" s="13"/>
      <c r="N117" s="14"/>
      <c r="O117" s="14"/>
    </row>
    <row r="118" spans="1:15" ht="16" x14ac:dyDescent="0.2">
      <c r="A118" s="4" t="s">
        <v>72</v>
      </c>
      <c r="B118" s="5"/>
      <c r="C118" s="129"/>
      <c r="D118" s="130"/>
      <c r="E118" s="77"/>
      <c r="F118" s="11"/>
      <c r="H118" s="11"/>
      <c r="I118" s="11"/>
      <c r="J118" s="13"/>
      <c r="K118" s="13"/>
      <c r="L118" s="13"/>
      <c r="M118" s="13"/>
      <c r="N118" s="14"/>
      <c r="O118" s="14"/>
    </row>
    <row r="119" spans="1:15" ht="16" x14ac:dyDescent="0.15">
      <c r="A119" s="6" t="s">
        <v>144</v>
      </c>
      <c r="B119" s="1" t="s">
        <v>17</v>
      </c>
      <c r="C119" s="7" t="s">
        <v>18</v>
      </c>
      <c r="D119" s="65">
        <v>239000</v>
      </c>
      <c r="E119" s="71">
        <v>20</v>
      </c>
      <c r="F119" s="11"/>
      <c r="H119" s="11">
        <f t="shared" ref="H119:H145" si="43">E119</f>
        <v>20</v>
      </c>
      <c r="I119" s="11"/>
      <c r="J119" s="13">
        <f t="shared" ref="J119:J145" si="44">D119/H119</f>
        <v>11950</v>
      </c>
      <c r="K119" s="13">
        <f t="shared" ref="K119:K145" si="45">J119*$K$2</f>
        <v>14340</v>
      </c>
      <c r="L119" s="13">
        <v>14000</v>
      </c>
      <c r="M119" s="13"/>
      <c r="N119" s="14">
        <f t="shared" ref="N119:N145" si="46">L119-J119</f>
        <v>2050</v>
      </c>
      <c r="O119" s="14">
        <f t="shared" ref="O119:O145" si="47">H119*N119</f>
        <v>41000</v>
      </c>
    </row>
    <row r="120" spans="1:15" ht="16" x14ac:dyDescent="0.15">
      <c r="A120" s="6" t="s">
        <v>145</v>
      </c>
      <c r="B120" s="1" t="s">
        <v>17</v>
      </c>
      <c r="C120" s="7" t="s">
        <v>18</v>
      </c>
      <c r="D120" s="65">
        <v>265000</v>
      </c>
      <c r="E120" s="71">
        <v>20</v>
      </c>
      <c r="F120" s="11"/>
      <c r="H120" s="11">
        <f t="shared" si="43"/>
        <v>20</v>
      </c>
      <c r="I120" s="11"/>
      <c r="J120" s="13">
        <f t="shared" si="44"/>
        <v>13250</v>
      </c>
      <c r="K120" s="13">
        <f t="shared" si="45"/>
        <v>15900</v>
      </c>
      <c r="L120" s="13">
        <v>16000</v>
      </c>
      <c r="M120" s="13"/>
      <c r="N120" s="14">
        <f t="shared" si="46"/>
        <v>2750</v>
      </c>
      <c r="O120" s="14">
        <f t="shared" si="47"/>
        <v>55000</v>
      </c>
    </row>
    <row r="121" spans="1:15" ht="16" x14ac:dyDescent="0.15">
      <c r="A121" s="6" t="s">
        <v>146</v>
      </c>
      <c r="B121" s="1" t="s">
        <v>17</v>
      </c>
      <c r="C121" s="7" t="s">
        <v>18</v>
      </c>
      <c r="D121" s="65">
        <v>322500</v>
      </c>
      <c r="E121" s="71">
        <v>20</v>
      </c>
      <c r="F121" s="11"/>
      <c r="H121" s="11">
        <f t="shared" si="43"/>
        <v>20</v>
      </c>
      <c r="I121" s="11"/>
      <c r="J121" s="13">
        <f t="shared" si="44"/>
        <v>16125</v>
      </c>
      <c r="K121" s="13">
        <f t="shared" si="45"/>
        <v>19350</v>
      </c>
      <c r="L121" s="13">
        <v>19000</v>
      </c>
      <c r="M121" s="13"/>
      <c r="N121" s="14">
        <f t="shared" si="46"/>
        <v>2875</v>
      </c>
      <c r="O121" s="14">
        <f t="shared" si="47"/>
        <v>57500</v>
      </c>
    </row>
    <row r="122" spans="1:15" ht="16" x14ac:dyDescent="0.15">
      <c r="A122" s="6" t="s">
        <v>147</v>
      </c>
      <c r="B122" s="1" t="s">
        <v>17</v>
      </c>
      <c r="C122" s="7" t="s">
        <v>18</v>
      </c>
      <c r="D122" s="65">
        <v>352000</v>
      </c>
      <c r="E122" s="71">
        <v>20</v>
      </c>
      <c r="F122" s="11"/>
      <c r="H122" s="11">
        <f t="shared" si="43"/>
        <v>20</v>
      </c>
      <c r="I122" s="11"/>
      <c r="J122" s="13">
        <f t="shared" si="44"/>
        <v>17600</v>
      </c>
      <c r="K122" s="13">
        <f t="shared" si="45"/>
        <v>21120</v>
      </c>
      <c r="L122" s="13">
        <v>20000</v>
      </c>
      <c r="M122" s="13"/>
      <c r="N122" s="14">
        <f t="shared" si="46"/>
        <v>2400</v>
      </c>
      <c r="O122" s="14">
        <f t="shared" si="47"/>
        <v>48000</v>
      </c>
    </row>
    <row r="123" spans="1:15" ht="16" x14ac:dyDescent="0.15">
      <c r="A123" s="6" t="s">
        <v>148</v>
      </c>
      <c r="B123" s="1" t="s">
        <v>17</v>
      </c>
      <c r="C123" s="7" t="s">
        <v>18</v>
      </c>
      <c r="D123" s="65">
        <v>505000</v>
      </c>
      <c r="E123" s="71">
        <v>20</v>
      </c>
      <c r="F123" s="11"/>
      <c r="H123" s="11">
        <f t="shared" si="43"/>
        <v>20</v>
      </c>
      <c r="I123" s="11"/>
      <c r="J123" s="13">
        <f t="shared" si="44"/>
        <v>25250</v>
      </c>
      <c r="K123" s="13">
        <f t="shared" si="45"/>
        <v>30300</v>
      </c>
      <c r="L123" s="13">
        <v>30000</v>
      </c>
      <c r="M123" s="13"/>
      <c r="N123" s="14">
        <f t="shared" si="46"/>
        <v>4750</v>
      </c>
      <c r="O123" s="14">
        <f t="shared" si="47"/>
        <v>95000</v>
      </c>
    </row>
    <row r="124" spans="1:15" ht="16" x14ac:dyDescent="0.15">
      <c r="A124" s="6" t="s">
        <v>149</v>
      </c>
      <c r="B124" s="1" t="s">
        <v>17</v>
      </c>
      <c r="C124" s="7" t="s">
        <v>18</v>
      </c>
      <c r="D124" s="65">
        <v>252000</v>
      </c>
      <c r="E124" s="71">
        <v>20</v>
      </c>
      <c r="F124" s="11"/>
      <c r="H124" s="11">
        <f t="shared" si="43"/>
        <v>20</v>
      </c>
      <c r="I124" s="11"/>
      <c r="J124" s="13">
        <f t="shared" si="44"/>
        <v>12600</v>
      </c>
      <c r="K124" s="13">
        <f t="shared" si="45"/>
        <v>15120</v>
      </c>
      <c r="L124" s="13">
        <v>15000</v>
      </c>
      <c r="M124" s="13"/>
      <c r="N124" s="14">
        <f t="shared" si="46"/>
        <v>2400</v>
      </c>
      <c r="O124" s="14">
        <f t="shared" si="47"/>
        <v>48000</v>
      </c>
    </row>
    <row r="125" spans="1:15" ht="16" x14ac:dyDescent="0.15">
      <c r="A125" s="6" t="s">
        <v>150</v>
      </c>
      <c r="B125" s="1" t="s">
        <v>17</v>
      </c>
      <c r="C125" s="7" t="s">
        <v>18</v>
      </c>
      <c r="D125" s="65">
        <v>350000</v>
      </c>
      <c r="E125" s="71">
        <v>20</v>
      </c>
      <c r="F125" s="11"/>
      <c r="H125" s="11">
        <f t="shared" si="43"/>
        <v>20</v>
      </c>
      <c r="I125" s="11"/>
      <c r="J125" s="13">
        <f t="shared" si="44"/>
        <v>17500</v>
      </c>
      <c r="K125" s="13">
        <f t="shared" si="45"/>
        <v>21000</v>
      </c>
      <c r="L125" s="13">
        <v>20000</v>
      </c>
      <c r="M125" s="13"/>
      <c r="N125" s="14">
        <f t="shared" si="46"/>
        <v>2500</v>
      </c>
      <c r="O125" s="14">
        <f t="shared" si="47"/>
        <v>50000</v>
      </c>
    </row>
    <row r="126" spans="1:15" x14ac:dyDescent="0.2">
      <c r="A126" s="5"/>
      <c r="B126" s="5"/>
      <c r="C126" s="129"/>
      <c r="D126" s="130"/>
      <c r="E126" s="77"/>
      <c r="F126" s="11"/>
      <c r="H126" s="11"/>
      <c r="I126" s="11"/>
      <c r="J126" s="13"/>
      <c r="K126" s="13"/>
      <c r="L126" s="13"/>
      <c r="M126" s="13"/>
      <c r="N126" s="14"/>
      <c r="O126" s="14"/>
    </row>
    <row r="127" spans="1:15" ht="16" x14ac:dyDescent="0.2">
      <c r="A127" s="4" t="s">
        <v>151</v>
      </c>
      <c r="B127" s="5"/>
      <c r="C127" s="129"/>
      <c r="D127" s="130"/>
      <c r="E127" s="77"/>
      <c r="F127" s="11"/>
      <c r="H127" s="11"/>
      <c r="I127" s="11"/>
      <c r="J127" s="13"/>
      <c r="K127" s="13"/>
      <c r="L127" s="13"/>
      <c r="M127" s="13"/>
      <c r="N127" s="14"/>
      <c r="O127" s="14"/>
    </row>
    <row r="128" spans="1:15" ht="16" x14ac:dyDescent="0.15">
      <c r="A128" s="6" t="s">
        <v>152</v>
      </c>
      <c r="B128" s="1" t="s">
        <v>100</v>
      </c>
      <c r="C128" s="7" t="s">
        <v>18</v>
      </c>
      <c r="D128" s="65">
        <v>984000</v>
      </c>
      <c r="E128" s="71">
        <v>40</v>
      </c>
      <c r="F128" s="11"/>
      <c r="H128" s="11">
        <f t="shared" si="43"/>
        <v>40</v>
      </c>
      <c r="I128" s="11"/>
      <c r="J128" s="13">
        <f t="shared" si="44"/>
        <v>24600</v>
      </c>
      <c r="K128" s="13">
        <f t="shared" si="45"/>
        <v>29520</v>
      </c>
      <c r="L128" s="13"/>
      <c r="M128" s="13"/>
      <c r="N128" s="14">
        <f>L128-J128</f>
        <v>-24600</v>
      </c>
      <c r="O128" s="14">
        <f t="shared" si="47"/>
        <v>-984000</v>
      </c>
    </row>
    <row r="129" spans="1:15" ht="16" x14ac:dyDescent="0.15">
      <c r="A129" s="6" t="s">
        <v>153</v>
      </c>
      <c r="B129" s="1" t="s">
        <v>100</v>
      </c>
      <c r="C129" s="7" t="s">
        <v>18</v>
      </c>
      <c r="D129" s="65">
        <v>1159000</v>
      </c>
      <c r="E129" s="71">
        <v>40</v>
      </c>
      <c r="F129" s="11"/>
      <c r="H129" s="11">
        <f t="shared" si="43"/>
        <v>40</v>
      </c>
      <c r="I129" s="11"/>
      <c r="J129" s="13">
        <f t="shared" si="44"/>
        <v>28975</v>
      </c>
      <c r="K129" s="13">
        <f t="shared" si="45"/>
        <v>34770</v>
      </c>
      <c r="L129" s="13"/>
      <c r="M129" s="13">
        <v>33000</v>
      </c>
      <c r="N129" s="14">
        <f t="shared" si="46"/>
        <v>-28975</v>
      </c>
      <c r="O129" s="14">
        <f t="shared" si="47"/>
        <v>-1159000</v>
      </c>
    </row>
    <row r="130" spans="1:15" ht="16" x14ac:dyDescent="0.15">
      <c r="A130" s="6" t="s">
        <v>154</v>
      </c>
      <c r="B130" s="1" t="s">
        <v>100</v>
      </c>
      <c r="C130" s="7" t="s">
        <v>18</v>
      </c>
      <c r="D130" s="65">
        <v>1159000</v>
      </c>
      <c r="E130" s="71">
        <v>40</v>
      </c>
      <c r="F130" s="11"/>
      <c r="H130" s="11">
        <f t="shared" si="43"/>
        <v>40</v>
      </c>
      <c r="I130" s="11"/>
      <c r="J130" s="13">
        <f t="shared" si="44"/>
        <v>28975</v>
      </c>
      <c r="K130" s="13">
        <f t="shared" si="45"/>
        <v>34770</v>
      </c>
      <c r="L130" s="13">
        <v>32000</v>
      </c>
      <c r="M130" s="13">
        <v>33000</v>
      </c>
      <c r="N130" s="14">
        <f t="shared" si="46"/>
        <v>3025</v>
      </c>
      <c r="O130" s="14">
        <f t="shared" si="47"/>
        <v>121000</v>
      </c>
    </row>
    <row r="131" spans="1:15" ht="16" x14ac:dyDescent="0.15">
      <c r="A131" s="6" t="s">
        <v>155</v>
      </c>
      <c r="B131" s="1" t="s">
        <v>100</v>
      </c>
      <c r="C131" s="7" t="s">
        <v>18</v>
      </c>
      <c r="D131" s="65">
        <v>1159000</v>
      </c>
      <c r="E131" s="71">
        <v>40</v>
      </c>
      <c r="F131" s="11"/>
      <c r="H131" s="11">
        <f t="shared" si="43"/>
        <v>40</v>
      </c>
      <c r="I131" s="11"/>
      <c r="J131" s="13">
        <f t="shared" si="44"/>
        <v>28975</v>
      </c>
      <c r="K131" s="13">
        <f t="shared" si="45"/>
        <v>34770</v>
      </c>
      <c r="L131" s="13"/>
      <c r="M131" s="13">
        <v>33000</v>
      </c>
      <c r="N131" s="14">
        <f t="shared" si="46"/>
        <v>-28975</v>
      </c>
      <c r="O131" s="14">
        <f t="shared" si="47"/>
        <v>-1159000</v>
      </c>
    </row>
    <row r="132" spans="1:15" ht="17.25" customHeight="1" x14ac:dyDescent="0.15">
      <c r="A132" s="6" t="s">
        <v>156</v>
      </c>
      <c r="B132" s="1" t="s">
        <v>100</v>
      </c>
      <c r="C132" s="7" t="s">
        <v>18</v>
      </c>
      <c r="D132" s="65">
        <v>966000</v>
      </c>
      <c r="E132" s="71">
        <v>40</v>
      </c>
      <c r="F132" s="11"/>
      <c r="H132" s="11">
        <f t="shared" si="43"/>
        <v>40</v>
      </c>
      <c r="I132" s="11"/>
      <c r="J132" s="13">
        <f t="shared" si="44"/>
        <v>24150</v>
      </c>
      <c r="K132" s="13">
        <f t="shared" si="45"/>
        <v>28980</v>
      </c>
      <c r="L132" s="13"/>
      <c r="M132" s="13"/>
      <c r="N132" s="14">
        <f t="shared" si="46"/>
        <v>-24150</v>
      </c>
      <c r="O132" s="14">
        <f t="shared" si="47"/>
        <v>-966000</v>
      </c>
    </row>
    <row r="133" spans="1:15" ht="16" x14ac:dyDescent="0.15">
      <c r="A133" s="6" t="s">
        <v>157</v>
      </c>
      <c r="B133" s="1" t="s">
        <v>100</v>
      </c>
      <c r="C133" s="7" t="s">
        <v>18</v>
      </c>
      <c r="D133" s="65">
        <v>730000</v>
      </c>
      <c r="E133" s="71">
        <v>50</v>
      </c>
      <c r="F133" s="11"/>
      <c r="H133" s="11">
        <f t="shared" si="43"/>
        <v>50</v>
      </c>
      <c r="I133" s="11"/>
      <c r="J133" s="13">
        <f t="shared" si="44"/>
        <v>14600</v>
      </c>
      <c r="K133" s="13">
        <f t="shared" si="45"/>
        <v>17520</v>
      </c>
      <c r="L133" s="13">
        <v>18000</v>
      </c>
      <c r="M133" s="13">
        <v>19000</v>
      </c>
      <c r="N133" s="14">
        <f t="shared" si="46"/>
        <v>3400</v>
      </c>
      <c r="O133" s="14">
        <f t="shared" si="47"/>
        <v>170000</v>
      </c>
    </row>
    <row r="134" spans="1:15" ht="16" x14ac:dyDescent="0.15">
      <c r="A134" s="6" t="s">
        <v>158</v>
      </c>
      <c r="B134" s="1" t="s">
        <v>100</v>
      </c>
      <c r="C134" s="7" t="s">
        <v>18</v>
      </c>
      <c r="D134" s="65">
        <v>858000</v>
      </c>
      <c r="E134" s="71">
        <v>80</v>
      </c>
      <c r="F134" s="11"/>
      <c r="H134" s="11">
        <f t="shared" si="43"/>
        <v>80</v>
      </c>
      <c r="I134" s="11"/>
      <c r="J134" s="13">
        <f t="shared" si="44"/>
        <v>10725</v>
      </c>
      <c r="K134" s="13">
        <f t="shared" si="45"/>
        <v>12870</v>
      </c>
      <c r="L134" s="13">
        <v>13000</v>
      </c>
      <c r="M134" s="13">
        <v>13000</v>
      </c>
      <c r="N134" s="14">
        <f t="shared" si="46"/>
        <v>2275</v>
      </c>
      <c r="O134" s="14">
        <f t="shared" si="47"/>
        <v>182000</v>
      </c>
    </row>
    <row r="135" spans="1:15" ht="16" x14ac:dyDescent="0.15">
      <c r="A135" s="6" t="s">
        <v>159</v>
      </c>
      <c r="B135" s="1" t="s">
        <v>100</v>
      </c>
      <c r="C135" s="7" t="s">
        <v>18</v>
      </c>
      <c r="D135" s="65">
        <v>858000</v>
      </c>
      <c r="E135" s="71">
        <v>80</v>
      </c>
      <c r="F135" s="11"/>
      <c r="H135" s="11">
        <f t="shared" si="43"/>
        <v>80</v>
      </c>
      <c r="I135" s="11"/>
      <c r="J135" s="13">
        <f t="shared" si="44"/>
        <v>10725</v>
      </c>
      <c r="K135" s="13">
        <f t="shared" si="45"/>
        <v>12870</v>
      </c>
      <c r="L135" s="13"/>
      <c r="M135" s="13">
        <v>13000</v>
      </c>
      <c r="N135" s="14">
        <f t="shared" si="46"/>
        <v>-10725</v>
      </c>
      <c r="O135" s="14">
        <f t="shared" si="47"/>
        <v>-858000</v>
      </c>
    </row>
    <row r="136" spans="1:15" ht="16" x14ac:dyDescent="0.15">
      <c r="A136" s="6" t="s">
        <v>160</v>
      </c>
      <c r="B136" s="1" t="s">
        <v>68</v>
      </c>
      <c r="C136" s="7" t="s">
        <v>18</v>
      </c>
      <c r="D136" s="65">
        <v>45000</v>
      </c>
      <c r="E136" s="71">
        <v>5</v>
      </c>
      <c r="F136" s="11"/>
      <c r="H136" s="11">
        <f t="shared" si="43"/>
        <v>5</v>
      </c>
      <c r="I136" s="11"/>
      <c r="J136" s="13">
        <f t="shared" si="44"/>
        <v>9000</v>
      </c>
      <c r="K136" s="13">
        <f t="shared" si="45"/>
        <v>10800</v>
      </c>
      <c r="L136" s="13"/>
      <c r="M136" s="13"/>
      <c r="N136" s="14">
        <f t="shared" si="46"/>
        <v>-9000</v>
      </c>
      <c r="O136" s="14">
        <f t="shared" si="47"/>
        <v>-45000</v>
      </c>
    </row>
    <row r="137" spans="1:15" ht="16" x14ac:dyDescent="0.15">
      <c r="A137" s="6" t="s">
        <v>161</v>
      </c>
      <c r="B137" s="1" t="s">
        <v>100</v>
      </c>
      <c r="C137" s="36" t="s">
        <v>18</v>
      </c>
      <c r="D137" s="66">
        <v>1012000</v>
      </c>
      <c r="E137" s="71">
        <v>200</v>
      </c>
      <c r="F137" s="11"/>
      <c r="H137" s="11">
        <f t="shared" si="43"/>
        <v>200</v>
      </c>
      <c r="I137" s="11"/>
      <c r="J137" s="13">
        <f t="shared" si="44"/>
        <v>5060</v>
      </c>
      <c r="K137" s="13">
        <f t="shared" si="45"/>
        <v>6072</v>
      </c>
      <c r="L137" s="13"/>
      <c r="M137" s="13">
        <v>8100</v>
      </c>
      <c r="N137" s="14">
        <f t="shared" si="46"/>
        <v>-5060</v>
      </c>
      <c r="O137" s="14">
        <f t="shared" si="47"/>
        <v>-1012000</v>
      </c>
    </row>
    <row r="138" spans="1:15" ht="16" x14ac:dyDescent="0.15">
      <c r="A138" s="6" t="s">
        <v>162</v>
      </c>
      <c r="B138" s="1" t="s">
        <v>100</v>
      </c>
      <c r="C138" s="52" t="s">
        <v>18</v>
      </c>
      <c r="D138" s="67">
        <v>1012000</v>
      </c>
      <c r="E138" s="71">
        <v>200</v>
      </c>
      <c r="F138" s="11"/>
      <c r="H138" s="11">
        <f t="shared" si="43"/>
        <v>200</v>
      </c>
      <c r="I138" s="11"/>
      <c r="J138" s="13">
        <f t="shared" si="44"/>
        <v>5060</v>
      </c>
      <c r="K138" s="13">
        <f t="shared" si="45"/>
        <v>6072</v>
      </c>
      <c r="L138" s="13">
        <v>7000</v>
      </c>
      <c r="M138" s="13">
        <v>8100</v>
      </c>
      <c r="N138" s="14">
        <f t="shared" si="46"/>
        <v>1940</v>
      </c>
      <c r="O138" s="14">
        <f t="shared" si="47"/>
        <v>388000</v>
      </c>
    </row>
    <row r="139" spans="1:15" ht="16" x14ac:dyDescent="0.15">
      <c r="A139" s="6" t="s">
        <v>163</v>
      </c>
      <c r="B139" s="1" t="s">
        <v>100</v>
      </c>
      <c r="C139" s="7" t="s">
        <v>18</v>
      </c>
      <c r="D139" s="65">
        <v>827000</v>
      </c>
      <c r="E139" s="71">
        <v>240</v>
      </c>
      <c r="F139" s="11"/>
      <c r="H139" s="11">
        <f t="shared" si="43"/>
        <v>240</v>
      </c>
      <c r="I139" s="11"/>
      <c r="J139" s="13">
        <f t="shared" si="44"/>
        <v>3445.8333333333335</v>
      </c>
      <c r="K139" s="13">
        <f t="shared" si="45"/>
        <v>4135</v>
      </c>
      <c r="L139" s="13">
        <v>6000</v>
      </c>
      <c r="M139" s="13">
        <v>6100</v>
      </c>
      <c r="N139" s="14">
        <f t="shared" si="46"/>
        <v>2554.1666666666665</v>
      </c>
      <c r="O139" s="14">
        <f t="shared" si="47"/>
        <v>613000</v>
      </c>
    </row>
    <row r="140" spans="1:15" ht="16" x14ac:dyDescent="0.15">
      <c r="A140" s="6" t="s">
        <v>164</v>
      </c>
      <c r="B140" s="1" t="s">
        <v>100</v>
      </c>
      <c r="C140" s="7" t="s">
        <v>18</v>
      </c>
      <c r="D140" s="65">
        <v>827000</v>
      </c>
      <c r="E140" s="71">
        <v>240</v>
      </c>
      <c r="F140" s="11"/>
      <c r="H140" s="11">
        <f t="shared" si="43"/>
        <v>240</v>
      </c>
      <c r="I140" s="11"/>
      <c r="J140" s="13">
        <f t="shared" si="44"/>
        <v>3445.8333333333335</v>
      </c>
      <c r="K140" s="13">
        <f t="shared" si="45"/>
        <v>4135</v>
      </c>
      <c r="L140" s="13"/>
      <c r="M140" s="13">
        <v>6100</v>
      </c>
      <c r="N140" s="14">
        <f t="shared" si="46"/>
        <v>-3445.8333333333335</v>
      </c>
      <c r="O140" s="14">
        <f t="shared" si="47"/>
        <v>-827000</v>
      </c>
    </row>
    <row r="141" spans="1:15" ht="16" x14ac:dyDescent="0.15">
      <c r="A141" s="6" t="s">
        <v>165</v>
      </c>
      <c r="B141" s="1" t="s">
        <v>100</v>
      </c>
      <c r="C141" s="7" t="s">
        <v>18</v>
      </c>
      <c r="D141" s="65">
        <v>720000</v>
      </c>
      <c r="E141" s="71">
        <v>300</v>
      </c>
      <c r="F141" s="11"/>
      <c r="H141" s="11">
        <f t="shared" si="43"/>
        <v>300</v>
      </c>
      <c r="I141" s="11"/>
      <c r="J141" s="13">
        <f t="shared" si="44"/>
        <v>2400</v>
      </c>
      <c r="K141" s="13">
        <f t="shared" si="45"/>
        <v>2880</v>
      </c>
      <c r="L141" s="13">
        <v>3000</v>
      </c>
      <c r="M141" s="13">
        <v>3000</v>
      </c>
      <c r="N141" s="14">
        <f t="shared" si="46"/>
        <v>600</v>
      </c>
      <c r="O141" s="14">
        <f t="shared" si="47"/>
        <v>180000</v>
      </c>
    </row>
    <row r="142" spans="1:15" ht="16" x14ac:dyDescent="0.15">
      <c r="A142" s="6" t="s">
        <v>166</v>
      </c>
      <c r="B142" s="1" t="s">
        <v>100</v>
      </c>
      <c r="C142" s="7" t="s">
        <v>18</v>
      </c>
      <c r="D142" s="65">
        <v>720000</v>
      </c>
      <c r="E142" s="71">
        <v>150</v>
      </c>
      <c r="F142" s="11"/>
      <c r="H142" s="11">
        <f t="shared" si="43"/>
        <v>150</v>
      </c>
      <c r="I142" s="11"/>
      <c r="J142" s="13">
        <f t="shared" si="44"/>
        <v>4800</v>
      </c>
      <c r="K142" s="13">
        <f t="shared" si="45"/>
        <v>5760</v>
      </c>
      <c r="L142" s="13">
        <v>6000</v>
      </c>
      <c r="M142" s="13">
        <v>6000</v>
      </c>
      <c r="N142" s="14">
        <f t="shared" si="46"/>
        <v>1200</v>
      </c>
      <c r="O142" s="14">
        <f t="shared" si="47"/>
        <v>180000</v>
      </c>
    </row>
    <row r="143" spans="1:15" ht="16" x14ac:dyDescent="0.15">
      <c r="A143" s="6" t="s">
        <v>167</v>
      </c>
      <c r="B143" s="1" t="s">
        <v>100</v>
      </c>
      <c r="C143" s="7" t="s">
        <v>18</v>
      </c>
      <c r="D143" s="65">
        <v>720000</v>
      </c>
      <c r="E143" s="71">
        <v>150</v>
      </c>
      <c r="F143" s="11"/>
      <c r="H143" s="11">
        <f t="shared" si="43"/>
        <v>150</v>
      </c>
      <c r="I143" s="11"/>
      <c r="J143" s="13">
        <f t="shared" si="44"/>
        <v>4800</v>
      </c>
      <c r="K143" s="13">
        <f t="shared" si="45"/>
        <v>5760</v>
      </c>
      <c r="L143" s="13">
        <v>6000</v>
      </c>
      <c r="M143" s="13">
        <v>6000</v>
      </c>
      <c r="N143" s="14">
        <f t="shared" si="46"/>
        <v>1200</v>
      </c>
      <c r="O143" s="14">
        <f t="shared" si="47"/>
        <v>180000</v>
      </c>
    </row>
    <row r="144" spans="1:15" ht="16" x14ac:dyDescent="0.15">
      <c r="A144" s="6" t="s">
        <v>168</v>
      </c>
      <c r="B144" s="1" t="s">
        <v>100</v>
      </c>
      <c r="C144" s="7" t="s">
        <v>18</v>
      </c>
      <c r="D144" s="65">
        <v>530000</v>
      </c>
      <c r="E144" s="71">
        <v>36</v>
      </c>
      <c r="F144" s="11"/>
      <c r="H144" s="11">
        <f t="shared" si="43"/>
        <v>36</v>
      </c>
      <c r="I144" s="11"/>
      <c r="J144" s="13">
        <f t="shared" si="44"/>
        <v>14722.222222222223</v>
      </c>
      <c r="K144" s="13">
        <f t="shared" si="45"/>
        <v>17666.666666666668</v>
      </c>
      <c r="L144" s="13">
        <v>16000</v>
      </c>
      <c r="M144" s="13">
        <v>16000</v>
      </c>
      <c r="N144" s="14">
        <f t="shared" si="46"/>
        <v>1277.7777777777774</v>
      </c>
      <c r="O144" s="14">
        <f t="shared" si="47"/>
        <v>45999.999999999985</v>
      </c>
    </row>
    <row r="145" spans="1:15" ht="16" x14ac:dyDescent="0.15">
      <c r="A145" s="6" t="s">
        <v>169</v>
      </c>
      <c r="B145" s="1" t="s">
        <v>100</v>
      </c>
      <c r="C145" s="7" t="s">
        <v>18</v>
      </c>
      <c r="D145" s="65">
        <v>530000</v>
      </c>
      <c r="E145" s="71">
        <v>36</v>
      </c>
      <c r="F145" s="11"/>
      <c r="H145" s="11">
        <f t="shared" si="43"/>
        <v>36</v>
      </c>
      <c r="I145" s="11"/>
      <c r="J145" s="13">
        <f t="shared" si="44"/>
        <v>14722.222222222223</v>
      </c>
      <c r="K145" s="13">
        <f t="shared" si="45"/>
        <v>17666.666666666668</v>
      </c>
      <c r="L145" s="13">
        <v>16000</v>
      </c>
      <c r="M145" s="13">
        <v>16000</v>
      </c>
      <c r="N145" s="14">
        <f t="shared" si="46"/>
        <v>1277.7777777777774</v>
      </c>
      <c r="O145" s="14">
        <f t="shared" si="47"/>
        <v>45999.999999999985</v>
      </c>
    </row>
    <row r="146" spans="1:15" ht="16" x14ac:dyDescent="0.15">
      <c r="A146" s="6" t="s">
        <v>170</v>
      </c>
      <c r="B146" s="1" t="s">
        <v>68</v>
      </c>
      <c r="C146" s="7" t="s">
        <v>18</v>
      </c>
      <c r="D146" s="65">
        <v>40000</v>
      </c>
      <c r="E146" s="71">
        <v>10</v>
      </c>
      <c r="F146" s="11"/>
      <c r="H146" s="38">
        <v>30</v>
      </c>
      <c r="I146" s="38"/>
      <c r="J146" s="39">
        <f t="shared" ref="J146:J147" si="48">D146/H146</f>
        <v>1333.3333333333333</v>
      </c>
      <c r="K146" s="39">
        <f t="shared" ref="K146:K147" si="49">J146*$K$2</f>
        <v>1599.9999999999998</v>
      </c>
      <c r="L146" s="39">
        <v>5000</v>
      </c>
      <c r="M146" s="39">
        <v>5000</v>
      </c>
      <c r="N146" s="40">
        <f t="shared" ref="N146:N147" si="50">L146-J146</f>
        <v>3666.666666666667</v>
      </c>
      <c r="O146" s="40">
        <f t="shared" ref="O146:O147" si="51">H146*N146</f>
        <v>110000.00000000001</v>
      </c>
    </row>
    <row r="147" spans="1:15" ht="32" x14ac:dyDescent="0.15">
      <c r="A147" s="89" t="s">
        <v>171</v>
      </c>
      <c r="B147" s="90" t="s">
        <v>68</v>
      </c>
      <c r="C147" s="91" t="s">
        <v>18</v>
      </c>
      <c r="D147" s="92">
        <v>45000</v>
      </c>
      <c r="E147" s="93">
        <v>10</v>
      </c>
      <c r="F147" s="11"/>
      <c r="H147" s="11">
        <v>30</v>
      </c>
      <c r="I147" s="11"/>
      <c r="J147" s="13">
        <f t="shared" si="48"/>
        <v>1500</v>
      </c>
      <c r="K147" s="13">
        <f t="shared" si="49"/>
        <v>1800</v>
      </c>
      <c r="L147" s="13">
        <v>6000</v>
      </c>
      <c r="M147" s="13">
        <v>5000</v>
      </c>
      <c r="N147" s="14">
        <f t="shared" si="50"/>
        <v>4500</v>
      </c>
      <c r="O147" s="14">
        <f t="shared" si="51"/>
        <v>135000</v>
      </c>
    </row>
    <row r="148" spans="1:15" ht="15" x14ac:dyDescent="0.15">
      <c r="A148" s="81"/>
      <c r="B148" s="82"/>
      <c r="C148" s="82"/>
      <c r="D148" s="83"/>
      <c r="E148" s="84"/>
      <c r="J148" s="50"/>
      <c r="K148" s="50"/>
      <c r="L148" s="50"/>
      <c r="M148" s="50"/>
      <c r="N148" s="85"/>
      <c r="O148" s="85"/>
    </row>
    <row r="149" spans="1:15" ht="16" x14ac:dyDescent="0.2">
      <c r="A149" s="86" t="s">
        <v>175</v>
      </c>
      <c r="B149" s="87"/>
      <c r="C149" s="135"/>
      <c r="D149" s="135"/>
      <c r="E149" s="88"/>
      <c r="J149" s="50"/>
      <c r="K149" s="50"/>
      <c r="L149" s="50"/>
      <c r="M149" s="50"/>
      <c r="N149" s="85"/>
      <c r="O149" s="85"/>
    </row>
    <row r="150" spans="1:15" ht="16" x14ac:dyDescent="0.15">
      <c r="A150" s="94" t="s">
        <v>176</v>
      </c>
      <c r="B150" s="95" t="s">
        <v>17</v>
      </c>
      <c r="C150" s="96" t="s">
        <v>18</v>
      </c>
      <c r="D150" s="97">
        <v>483000</v>
      </c>
      <c r="E150" s="98">
        <v>12</v>
      </c>
      <c r="F150" s="11"/>
      <c r="H150" s="15">
        <f>E150</f>
        <v>12</v>
      </c>
      <c r="I150" s="11"/>
      <c r="J150" s="13">
        <f t="shared" ref="J150:J180" si="52">D150/H150</f>
        <v>40250</v>
      </c>
      <c r="K150" s="13">
        <f t="shared" ref="K150:K180" si="53">J150*$K$2</f>
        <v>48300</v>
      </c>
      <c r="L150" s="13"/>
      <c r="M150" s="13"/>
      <c r="N150" s="14">
        <f t="shared" ref="N150:N180" si="54">L150-J150</f>
        <v>-40250</v>
      </c>
      <c r="O150" s="14">
        <f t="shared" ref="O150:O180" si="55">H150*N150</f>
        <v>-483000</v>
      </c>
    </row>
    <row r="151" spans="1:15" ht="16" x14ac:dyDescent="0.15">
      <c r="A151" s="6" t="s">
        <v>177</v>
      </c>
      <c r="B151" s="1" t="s">
        <v>17</v>
      </c>
      <c r="C151" s="7" t="s">
        <v>18</v>
      </c>
      <c r="D151" s="65">
        <v>483000</v>
      </c>
      <c r="E151" s="71">
        <v>12</v>
      </c>
      <c r="F151" s="11"/>
      <c r="H151" s="15">
        <f t="shared" ref="H151:H152" si="56">E151</f>
        <v>12</v>
      </c>
      <c r="I151" s="11"/>
      <c r="J151" s="13">
        <f t="shared" si="52"/>
        <v>40250</v>
      </c>
      <c r="K151" s="13">
        <f t="shared" si="53"/>
        <v>48300</v>
      </c>
      <c r="L151" s="13"/>
      <c r="M151" s="13"/>
      <c r="N151" s="14">
        <f t="shared" si="54"/>
        <v>-40250</v>
      </c>
      <c r="O151" s="14">
        <f t="shared" si="55"/>
        <v>-483000</v>
      </c>
    </row>
    <row r="152" spans="1:15" ht="16" x14ac:dyDescent="0.15">
      <c r="A152" s="6" t="s">
        <v>178</v>
      </c>
      <c r="B152" s="1" t="s">
        <v>17</v>
      </c>
      <c r="C152" s="7" t="s">
        <v>18</v>
      </c>
      <c r="D152" s="65">
        <v>483000</v>
      </c>
      <c r="E152" s="71">
        <v>12</v>
      </c>
      <c r="F152" s="11"/>
      <c r="H152" s="15">
        <f t="shared" si="56"/>
        <v>12</v>
      </c>
      <c r="I152" s="11"/>
      <c r="J152" s="13">
        <f t="shared" si="52"/>
        <v>40250</v>
      </c>
      <c r="K152" s="13">
        <f t="shared" si="53"/>
        <v>48300</v>
      </c>
      <c r="L152" s="13"/>
      <c r="M152" s="13"/>
      <c r="N152" s="14">
        <f t="shared" si="54"/>
        <v>-40250</v>
      </c>
      <c r="O152" s="14">
        <f t="shared" si="55"/>
        <v>-483000</v>
      </c>
    </row>
    <row r="153" spans="1:15" x14ac:dyDescent="0.2">
      <c r="A153" s="5"/>
      <c r="B153" s="5"/>
      <c r="C153" s="129"/>
      <c r="D153" s="130"/>
      <c r="E153" s="77"/>
      <c r="F153" s="11"/>
      <c r="H153" s="11"/>
      <c r="I153" s="11"/>
      <c r="J153" s="13"/>
      <c r="K153" s="13"/>
      <c r="L153" s="13"/>
      <c r="M153" s="13"/>
      <c r="N153" s="14"/>
      <c r="O153" s="14"/>
    </row>
    <row r="154" spans="1:15" ht="16" x14ac:dyDescent="0.2">
      <c r="A154" s="4" t="s">
        <v>179</v>
      </c>
      <c r="B154" s="5"/>
      <c r="C154" s="129"/>
      <c r="D154" s="130"/>
      <c r="E154" s="77"/>
      <c r="F154" s="11"/>
      <c r="H154" s="11"/>
      <c r="I154" s="11"/>
      <c r="J154" s="13"/>
      <c r="K154" s="13"/>
      <c r="L154" s="13"/>
      <c r="M154" s="13"/>
      <c r="N154" s="14"/>
      <c r="O154" s="14"/>
    </row>
    <row r="155" spans="1:15" ht="16" x14ac:dyDescent="0.15">
      <c r="A155" s="6" t="s">
        <v>180</v>
      </c>
      <c r="B155" s="1" t="s">
        <v>17</v>
      </c>
      <c r="C155" s="7" t="s">
        <v>18</v>
      </c>
      <c r="D155" s="65">
        <v>698000</v>
      </c>
      <c r="E155" s="71">
        <v>400</v>
      </c>
      <c r="F155" s="14">
        <f>SUM(D155:D159)</f>
        <v>3545500</v>
      </c>
      <c r="H155" s="15">
        <f>E155</f>
        <v>400</v>
      </c>
      <c r="I155" s="11"/>
      <c r="J155" s="13">
        <f t="shared" si="52"/>
        <v>1745</v>
      </c>
      <c r="K155" s="13">
        <f t="shared" si="53"/>
        <v>2094</v>
      </c>
      <c r="L155" s="13"/>
      <c r="M155" s="13"/>
      <c r="N155" s="14">
        <f t="shared" si="54"/>
        <v>-1745</v>
      </c>
      <c r="O155" s="14">
        <f t="shared" si="55"/>
        <v>-698000</v>
      </c>
    </row>
    <row r="156" spans="1:15" ht="16" x14ac:dyDescent="0.15">
      <c r="A156" s="6" t="s">
        <v>181</v>
      </c>
      <c r="B156" s="1" t="s">
        <v>17</v>
      </c>
      <c r="C156" s="7" t="s">
        <v>18</v>
      </c>
      <c r="D156" s="65">
        <v>816000</v>
      </c>
      <c r="E156" s="71">
        <v>300</v>
      </c>
      <c r="F156" s="11"/>
      <c r="H156" s="15">
        <f t="shared" ref="H156:H159" si="57">E156</f>
        <v>300</v>
      </c>
      <c r="I156" s="11"/>
      <c r="J156" s="13">
        <f t="shared" si="52"/>
        <v>2720</v>
      </c>
      <c r="K156" s="13">
        <f t="shared" si="53"/>
        <v>3264</v>
      </c>
      <c r="L156" s="13"/>
      <c r="M156" s="13"/>
      <c r="N156" s="14">
        <f t="shared" si="54"/>
        <v>-2720</v>
      </c>
      <c r="O156" s="14">
        <f t="shared" si="55"/>
        <v>-816000</v>
      </c>
    </row>
    <row r="157" spans="1:15" ht="16" x14ac:dyDescent="0.15">
      <c r="A157" s="6" t="s">
        <v>182</v>
      </c>
      <c r="B157" s="1" t="s">
        <v>17</v>
      </c>
      <c r="C157" s="7" t="s">
        <v>18</v>
      </c>
      <c r="D157" s="65">
        <v>708000</v>
      </c>
      <c r="E157" s="71">
        <v>150</v>
      </c>
      <c r="F157" s="11"/>
      <c r="H157" s="15">
        <f t="shared" si="57"/>
        <v>150</v>
      </c>
      <c r="I157" s="11"/>
      <c r="J157" s="13">
        <f t="shared" si="52"/>
        <v>4720</v>
      </c>
      <c r="K157" s="13">
        <f t="shared" si="53"/>
        <v>5664</v>
      </c>
      <c r="L157" s="13"/>
      <c r="M157" s="13"/>
      <c r="N157" s="14">
        <f t="shared" si="54"/>
        <v>-4720</v>
      </c>
      <c r="O157" s="14">
        <f t="shared" si="55"/>
        <v>-708000</v>
      </c>
    </row>
    <row r="158" spans="1:15" ht="16" x14ac:dyDescent="0.15">
      <c r="A158" s="6" t="s">
        <v>183</v>
      </c>
      <c r="B158" s="1" t="s">
        <v>17</v>
      </c>
      <c r="C158" s="7" t="s">
        <v>18</v>
      </c>
      <c r="D158" s="65">
        <v>568000</v>
      </c>
      <c r="E158" s="71">
        <v>100</v>
      </c>
      <c r="F158" s="11"/>
      <c r="H158" s="15">
        <f t="shared" si="57"/>
        <v>100</v>
      </c>
      <c r="I158" s="11"/>
      <c r="J158" s="13">
        <f t="shared" si="52"/>
        <v>5680</v>
      </c>
      <c r="K158" s="13">
        <f t="shared" si="53"/>
        <v>6816</v>
      </c>
      <c r="L158" s="13"/>
      <c r="M158" s="13"/>
      <c r="N158" s="14">
        <f t="shared" si="54"/>
        <v>-5680</v>
      </c>
      <c r="O158" s="14">
        <f t="shared" si="55"/>
        <v>-568000</v>
      </c>
    </row>
    <row r="159" spans="1:15" ht="16" x14ac:dyDescent="0.15">
      <c r="A159" s="6" t="s">
        <v>184</v>
      </c>
      <c r="B159" s="1" t="s">
        <v>17</v>
      </c>
      <c r="C159" s="7" t="s">
        <v>18</v>
      </c>
      <c r="D159" s="65">
        <v>755500</v>
      </c>
      <c r="E159" s="71">
        <v>100</v>
      </c>
      <c r="F159" s="11"/>
      <c r="H159" s="15">
        <f t="shared" si="57"/>
        <v>100</v>
      </c>
      <c r="I159" s="11"/>
      <c r="J159" s="13">
        <f t="shared" si="52"/>
        <v>7555</v>
      </c>
      <c r="K159" s="13">
        <f t="shared" si="53"/>
        <v>9066</v>
      </c>
      <c r="L159" s="13"/>
      <c r="M159" s="13"/>
      <c r="N159" s="14">
        <f t="shared" si="54"/>
        <v>-7555</v>
      </c>
      <c r="O159" s="14">
        <f t="shared" si="55"/>
        <v>-755500</v>
      </c>
    </row>
    <row r="160" spans="1:15" ht="16" x14ac:dyDescent="0.15">
      <c r="A160" s="6" t="s">
        <v>185</v>
      </c>
      <c r="B160" s="1" t="s">
        <v>186</v>
      </c>
      <c r="C160" s="7" t="s">
        <v>18</v>
      </c>
      <c r="D160" s="65">
        <v>48500</v>
      </c>
      <c r="E160" s="71">
        <v>50</v>
      </c>
      <c r="F160" s="14">
        <f>D160*8</f>
        <v>388000</v>
      </c>
      <c r="H160" s="15">
        <f>E160/5</f>
        <v>10</v>
      </c>
      <c r="I160" s="11"/>
      <c r="J160" s="13">
        <f t="shared" si="52"/>
        <v>4850</v>
      </c>
      <c r="K160" s="13">
        <f t="shared" si="53"/>
        <v>5820</v>
      </c>
      <c r="L160" s="13">
        <v>6000</v>
      </c>
      <c r="M160" s="13"/>
      <c r="N160" s="14">
        <f t="shared" si="54"/>
        <v>1150</v>
      </c>
      <c r="O160" s="14">
        <f t="shared" si="55"/>
        <v>11500</v>
      </c>
    </row>
    <row r="161" spans="1:15" ht="16" x14ac:dyDescent="0.15">
      <c r="A161" s="6" t="s">
        <v>187</v>
      </c>
      <c r="B161" s="1" t="s">
        <v>186</v>
      </c>
      <c r="C161" s="7" t="s">
        <v>18</v>
      </c>
      <c r="D161" s="65">
        <v>77000</v>
      </c>
      <c r="E161" s="71">
        <v>50</v>
      </c>
      <c r="F161" s="14">
        <f>D161*6</f>
        <v>462000</v>
      </c>
      <c r="H161" s="15">
        <f t="shared" ref="H161:H164" si="58">E161/5</f>
        <v>10</v>
      </c>
      <c r="I161" s="11"/>
      <c r="J161" s="13">
        <f t="shared" si="52"/>
        <v>7700</v>
      </c>
      <c r="K161" s="13">
        <f t="shared" si="53"/>
        <v>9240</v>
      </c>
      <c r="L161" s="13">
        <v>9000</v>
      </c>
      <c r="M161" s="13"/>
      <c r="N161" s="14">
        <f t="shared" si="54"/>
        <v>1300</v>
      </c>
      <c r="O161" s="14">
        <f t="shared" si="55"/>
        <v>13000</v>
      </c>
    </row>
    <row r="162" spans="1:15" ht="16" x14ac:dyDescent="0.15">
      <c r="A162" s="6" t="s">
        <v>188</v>
      </c>
      <c r="B162" s="1" t="s">
        <v>186</v>
      </c>
      <c r="C162" s="7" t="s">
        <v>18</v>
      </c>
      <c r="D162" s="65">
        <v>105000</v>
      </c>
      <c r="E162" s="71">
        <v>50</v>
      </c>
      <c r="F162" s="14">
        <f>D162*3</f>
        <v>315000</v>
      </c>
      <c r="H162" s="15">
        <f t="shared" si="58"/>
        <v>10</v>
      </c>
      <c r="I162" s="11"/>
      <c r="J162" s="13">
        <f t="shared" si="52"/>
        <v>10500</v>
      </c>
      <c r="K162" s="13">
        <f t="shared" si="53"/>
        <v>12600</v>
      </c>
      <c r="L162" s="13">
        <v>12000</v>
      </c>
      <c r="M162" s="13"/>
      <c r="N162" s="14">
        <f t="shared" si="54"/>
        <v>1500</v>
      </c>
      <c r="O162" s="14">
        <f t="shared" si="55"/>
        <v>15000</v>
      </c>
    </row>
    <row r="163" spans="1:15" ht="16" x14ac:dyDescent="0.15">
      <c r="A163" s="6" t="s">
        <v>189</v>
      </c>
      <c r="B163" s="1" t="s">
        <v>186</v>
      </c>
      <c r="C163" s="7" t="s">
        <v>18</v>
      </c>
      <c r="D163" s="65">
        <v>125000</v>
      </c>
      <c r="E163" s="71">
        <v>50</v>
      </c>
      <c r="F163" s="14">
        <f>D163*2</f>
        <v>250000</v>
      </c>
      <c r="H163" s="15">
        <f t="shared" si="58"/>
        <v>10</v>
      </c>
      <c r="I163" s="11"/>
      <c r="J163" s="13">
        <f t="shared" si="52"/>
        <v>12500</v>
      </c>
      <c r="K163" s="13">
        <f t="shared" si="53"/>
        <v>15000</v>
      </c>
      <c r="L163" s="13">
        <v>14000</v>
      </c>
      <c r="M163" s="13"/>
      <c r="N163" s="14">
        <f t="shared" si="54"/>
        <v>1500</v>
      </c>
      <c r="O163" s="14">
        <f t="shared" si="55"/>
        <v>15000</v>
      </c>
    </row>
    <row r="164" spans="1:15" ht="16" x14ac:dyDescent="0.15">
      <c r="A164" s="6" t="s">
        <v>190</v>
      </c>
      <c r="B164" s="1" t="s">
        <v>186</v>
      </c>
      <c r="C164" s="7" t="s">
        <v>18</v>
      </c>
      <c r="D164" s="65">
        <v>171000</v>
      </c>
      <c r="E164" s="71">
        <v>50</v>
      </c>
      <c r="F164" s="14">
        <f>D164*2</f>
        <v>342000</v>
      </c>
      <c r="H164" s="15">
        <f t="shared" si="58"/>
        <v>10</v>
      </c>
      <c r="I164" s="11"/>
      <c r="J164" s="13">
        <f t="shared" si="52"/>
        <v>17100</v>
      </c>
      <c r="K164" s="13">
        <v>19000</v>
      </c>
      <c r="L164" s="13">
        <v>18500</v>
      </c>
      <c r="M164" s="13"/>
      <c r="N164" s="14">
        <f t="shared" si="54"/>
        <v>1400</v>
      </c>
      <c r="O164" s="14">
        <f t="shared" si="55"/>
        <v>14000</v>
      </c>
    </row>
    <row r="165" spans="1:15" x14ac:dyDescent="0.2">
      <c r="A165" s="5"/>
      <c r="B165" s="5"/>
      <c r="C165" s="129"/>
      <c r="D165" s="130"/>
      <c r="E165" s="77"/>
      <c r="F165" s="11"/>
      <c r="H165" s="11"/>
      <c r="I165" s="11"/>
      <c r="J165" s="13"/>
      <c r="K165" s="13"/>
      <c r="L165" s="13"/>
      <c r="M165" s="13"/>
      <c r="N165" s="14"/>
      <c r="O165" s="14"/>
    </row>
    <row r="166" spans="1:15" ht="16" x14ac:dyDescent="0.2">
      <c r="A166" s="4" t="s">
        <v>191</v>
      </c>
      <c r="B166" s="5"/>
      <c r="C166" s="129"/>
      <c r="D166" s="130"/>
      <c r="E166" s="77"/>
      <c r="F166" s="11"/>
      <c r="H166" s="11"/>
      <c r="I166" s="11"/>
      <c r="J166" s="13" t="e">
        <f t="shared" si="52"/>
        <v>#DIV/0!</v>
      </c>
      <c r="K166" s="13" t="e">
        <f t="shared" si="53"/>
        <v>#DIV/0!</v>
      </c>
      <c r="L166" s="13"/>
      <c r="M166" s="13"/>
      <c r="N166" s="14" t="e">
        <f t="shared" si="54"/>
        <v>#DIV/0!</v>
      </c>
      <c r="O166" s="14" t="e">
        <f t="shared" si="55"/>
        <v>#DIV/0!</v>
      </c>
    </row>
    <row r="167" spans="1:15" ht="16" x14ac:dyDescent="0.15">
      <c r="A167" s="6" t="s">
        <v>192</v>
      </c>
      <c r="B167" s="1" t="s">
        <v>193</v>
      </c>
      <c r="C167" s="7" t="s">
        <v>18</v>
      </c>
      <c r="D167" s="65">
        <v>40500</v>
      </c>
      <c r="E167" s="71">
        <v>1</v>
      </c>
      <c r="F167" s="11"/>
      <c r="H167" s="11"/>
      <c r="I167" s="11"/>
      <c r="J167" s="13" t="e">
        <f t="shared" si="52"/>
        <v>#DIV/0!</v>
      </c>
      <c r="K167" s="13" t="e">
        <f t="shared" si="53"/>
        <v>#DIV/0!</v>
      </c>
      <c r="L167" s="13"/>
      <c r="M167" s="13"/>
      <c r="N167" s="14" t="e">
        <f t="shared" si="54"/>
        <v>#DIV/0!</v>
      </c>
      <c r="O167" s="14" t="e">
        <f t="shared" si="55"/>
        <v>#DIV/0!</v>
      </c>
    </row>
    <row r="168" spans="1:15" ht="16" x14ac:dyDescent="0.15">
      <c r="A168" s="6" t="s">
        <v>194</v>
      </c>
      <c r="B168" s="1" t="s">
        <v>193</v>
      </c>
      <c r="C168" s="36" t="s">
        <v>18</v>
      </c>
      <c r="D168" s="66">
        <v>40000</v>
      </c>
      <c r="E168" s="71">
        <v>1</v>
      </c>
      <c r="F168" s="11"/>
      <c r="H168" s="11"/>
      <c r="I168" s="11"/>
      <c r="J168" s="13" t="e">
        <f t="shared" si="52"/>
        <v>#DIV/0!</v>
      </c>
      <c r="K168" s="13" t="e">
        <f t="shared" si="53"/>
        <v>#DIV/0!</v>
      </c>
      <c r="L168" s="13"/>
      <c r="M168" s="13"/>
      <c r="N168" s="14" t="e">
        <f t="shared" si="54"/>
        <v>#DIV/0!</v>
      </c>
      <c r="O168" s="14" t="e">
        <f t="shared" si="55"/>
        <v>#DIV/0!</v>
      </c>
    </row>
    <row r="169" spans="1:15" ht="16" x14ac:dyDescent="0.15">
      <c r="A169" s="6" t="s">
        <v>195</v>
      </c>
      <c r="B169" s="1" t="s">
        <v>193</v>
      </c>
      <c r="C169" s="52" t="s">
        <v>18</v>
      </c>
      <c r="D169" s="67">
        <v>40000</v>
      </c>
      <c r="E169" s="71">
        <v>1</v>
      </c>
      <c r="F169" s="11"/>
      <c r="H169" s="11"/>
      <c r="I169" s="11"/>
      <c r="J169" s="13" t="e">
        <f t="shared" si="52"/>
        <v>#DIV/0!</v>
      </c>
      <c r="K169" s="13" t="e">
        <f t="shared" si="53"/>
        <v>#DIV/0!</v>
      </c>
      <c r="L169" s="13"/>
      <c r="M169" s="13"/>
      <c r="N169" s="14" t="e">
        <f t="shared" si="54"/>
        <v>#DIV/0!</v>
      </c>
      <c r="O169" s="14" t="e">
        <f t="shared" si="55"/>
        <v>#DIV/0!</v>
      </c>
    </row>
    <row r="170" spans="1:15" ht="16" x14ac:dyDescent="0.15">
      <c r="A170" s="6" t="s">
        <v>196</v>
      </c>
      <c r="B170" s="1" t="s">
        <v>193</v>
      </c>
      <c r="C170" s="7" t="s">
        <v>18</v>
      </c>
      <c r="D170" s="65">
        <v>40000</v>
      </c>
      <c r="E170" s="71">
        <v>1</v>
      </c>
      <c r="F170" s="11"/>
      <c r="H170" s="11"/>
      <c r="I170" s="11"/>
      <c r="J170" s="13" t="e">
        <f t="shared" si="52"/>
        <v>#DIV/0!</v>
      </c>
      <c r="K170" s="13" t="e">
        <f t="shared" si="53"/>
        <v>#DIV/0!</v>
      </c>
      <c r="L170" s="13"/>
      <c r="M170" s="13"/>
      <c r="N170" s="14" t="e">
        <f t="shared" si="54"/>
        <v>#DIV/0!</v>
      </c>
      <c r="O170" s="14" t="e">
        <f t="shared" si="55"/>
        <v>#DIV/0!</v>
      </c>
    </row>
    <row r="171" spans="1:15" ht="16" x14ac:dyDescent="0.15">
      <c r="A171" s="6" t="s">
        <v>197</v>
      </c>
      <c r="B171" s="1" t="s">
        <v>193</v>
      </c>
      <c r="C171" s="7" t="s">
        <v>18</v>
      </c>
      <c r="D171" s="65">
        <v>40000</v>
      </c>
      <c r="E171" s="71">
        <v>1</v>
      </c>
      <c r="F171" s="11"/>
      <c r="H171" s="11"/>
      <c r="I171" s="11"/>
      <c r="J171" s="13" t="e">
        <f t="shared" si="52"/>
        <v>#DIV/0!</v>
      </c>
      <c r="K171" s="13" t="e">
        <f t="shared" si="53"/>
        <v>#DIV/0!</v>
      </c>
      <c r="L171" s="13"/>
      <c r="M171" s="13"/>
      <c r="N171" s="14" t="e">
        <f t="shared" si="54"/>
        <v>#DIV/0!</v>
      </c>
      <c r="O171" s="14" t="e">
        <f t="shared" si="55"/>
        <v>#DIV/0!</v>
      </c>
    </row>
    <row r="172" spans="1:15" x14ac:dyDescent="0.2">
      <c r="A172" s="5"/>
      <c r="B172" s="5"/>
      <c r="C172" s="129"/>
      <c r="D172" s="130"/>
      <c r="E172" s="77"/>
      <c r="F172" s="11"/>
      <c r="H172" s="11"/>
      <c r="I172" s="11"/>
      <c r="J172" s="13" t="e">
        <f t="shared" si="52"/>
        <v>#DIV/0!</v>
      </c>
      <c r="K172" s="13" t="e">
        <f t="shared" si="53"/>
        <v>#DIV/0!</v>
      </c>
      <c r="L172" s="13"/>
      <c r="M172" s="13"/>
      <c r="N172" s="14" t="e">
        <f t="shared" si="54"/>
        <v>#DIV/0!</v>
      </c>
      <c r="O172" s="14" t="e">
        <f t="shared" si="55"/>
        <v>#DIV/0!</v>
      </c>
    </row>
    <row r="173" spans="1:15" ht="16" x14ac:dyDescent="0.2">
      <c r="A173" s="4" t="s">
        <v>198</v>
      </c>
      <c r="B173" s="5"/>
      <c r="C173" s="129"/>
      <c r="D173" s="130"/>
      <c r="E173" s="77"/>
      <c r="F173" s="11"/>
      <c r="H173" s="11"/>
      <c r="I173" s="11"/>
      <c r="J173" s="13" t="e">
        <f t="shared" si="52"/>
        <v>#DIV/0!</v>
      </c>
      <c r="K173" s="13" t="e">
        <f t="shared" si="53"/>
        <v>#DIV/0!</v>
      </c>
      <c r="L173" s="13"/>
      <c r="M173" s="13"/>
      <c r="N173" s="14" t="e">
        <f t="shared" si="54"/>
        <v>#DIV/0!</v>
      </c>
      <c r="O173" s="14" t="e">
        <f t="shared" si="55"/>
        <v>#DIV/0!</v>
      </c>
    </row>
    <row r="174" spans="1:15" ht="16" x14ac:dyDescent="0.15">
      <c r="A174" s="6" t="s">
        <v>199</v>
      </c>
      <c r="B174" s="1" t="s">
        <v>68</v>
      </c>
      <c r="C174" s="7" t="s">
        <v>18</v>
      </c>
      <c r="D174" s="65">
        <v>60000</v>
      </c>
      <c r="E174" s="71">
        <v>5</v>
      </c>
      <c r="F174" s="11"/>
      <c r="H174" s="15">
        <f>E174</f>
        <v>5</v>
      </c>
      <c r="I174" s="11"/>
      <c r="J174" s="13">
        <f t="shared" si="52"/>
        <v>12000</v>
      </c>
      <c r="K174" s="13">
        <f t="shared" si="53"/>
        <v>14400</v>
      </c>
      <c r="L174" s="13">
        <v>13000</v>
      </c>
      <c r="M174" s="13">
        <v>18000</v>
      </c>
      <c r="N174" s="14">
        <f t="shared" si="54"/>
        <v>1000</v>
      </c>
      <c r="O174" s="14">
        <f t="shared" si="55"/>
        <v>5000</v>
      </c>
    </row>
    <row r="175" spans="1:15" ht="16" x14ac:dyDescent="0.15">
      <c r="A175" s="56" t="s">
        <v>200</v>
      </c>
      <c r="B175" s="1" t="s">
        <v>100</v>
      </c>
      <c r="C175" s="7" t="s">
        <v>18</v>
      </c>
      <c r="D175" s="65">
        <v>510000</v>
      </c>
      <c r="E175" s="71">
        <v>38</v>
      </c>
      <c r="F175" s="11"/>
      <c r="H175" s="15">
        <f t="shared" ref="H175:H180" si="59">E175</f>
        <v>38</v>
      </c>
      <c r="I175" s="11"/>
      <c r="J175" s="13">
        <f t="shared" si="52"/>
        <v>13421.052631578947</v>
      </c>
      <c r="K175" s="13">
        <f t="shared" si="53"/>
        <v>16105.263157894735</v>
      </c>
      <c r="L175" s="13">
        <v>15000</v>
      </c>
      <c r="M175" s="13">
        <v>18000</v>
      </c>
      <c r="N175" s="14">
        <f t="shared" si="54"/>
        <v>1578.9473684210534</v>
      </c>
      <c r="O175" s="14">
        <f t="shared" si="55"/>
        <v>60000.000000000029</v>
      </c>
    </row>
    <row r="176" spans="1:15" ht="16" x14ac:dyDescent="0.15">
      <c r="A176" s="6" t="s">
        <v>201</v>
      </c>
      <c r="B176" s="1" t="s">
        <v>100</v>
      </c>
      <c r="C176" s="7" t="s">
        <v>18</v>
      </c>
      <c r="D176" s="65">
        <v>1674500</v>
      </c>
      <c r="E176" s="71">
        <v>69</v>
      </c>
      <c r="F176" s="11"/>
      <c r="H176" s="15">
        <f t="shared" si="59"/>
        <v>69</v>
      </c>
      <c r="I176" s="11"/>
      <c r="J176" s="13">
        <f>D176/H176</f>
        <v>24268.115942028984</v>
      </c>
      <c r="K176" s="13">
        <f t="shared" si="53"/>
        <v>29121.73913043478</v>
      </c>
      <c r="L176" s="13">
        <v>26000</v>
      </c>
      <c r="M176" s="13">
        <v>24900</v>
      </c>
      <c r="N176" s="14">
        <f t="shared" si="54"/>
        <v>1731.8840579710159</v>
      </c>
      <c r="O176" s="14">
        <f t="shared" si="55"/>
        <v>119500.00000000009</v>
      </c>
    </row>
    <row r="177" spans="1:15" ht="16" x14ac:dyDescent="0.15">
      <c r="A177" s="56" t="s">
        <v>202</v>
      </c>
      <c r="B177" s="1" t="s">
        <v>100</v>
      </c>
      <c r="C177" s="7" t="s">
        <v>18</v>
      </c>
      <c r="D177" s="65">
        <v>911000</v>
      </c>
      <c r="E177" s="71">
        <v>38</v>
      </c>
      <c r="F177" s="11"/>
      <c r="H177" s="15">
        <f t="shared" si="59"/>
        <v>38</v>
      </c>
      <c r="I177" s="11"/>
      <c r="J177" s="13">
        <f t="shared" si="52"/>
        <v>23973.684210526317</v>
      </c>
      <c r="K177" s="13">
        <f t="shared" si="53"/>
        <v>28768.42105263158</v>
      </c>
      <c r="L177" s="13">
        <v>26000</v>
      </c>
      <c r="M177" s="13">
        <v>32000</v>
      </c>
      <c r="N177" s="14">
        <f t="shared" si="54"/>
        <v>2026.3157894736833</v>
      </c>
      <c r="O177" s="14">
        <f t="shared" si="55"/>
        <v>76999.999999999971</v>
      </c>
    </row>
    <row r="178" spans="1:15" ht="16" x14ac:dyDescent="0.15">
      <c r="A178" s="6" t="s">
        <v>203</v>
      </c>
      <c r="B178" s="1" t="s">
        <v>100</v>
      </c>
      <c r="C178" s="7" t="s">
        <v>18</v>
      </c>
      <c r="D178" s="65">
        <v>926500</v>
      </c>
      <c r="E178" s="71">
        <v>32</v>
      </c>
      <c r="F178" s="11"/>
      <c r="H178" s="15">
        <f t="shared" si="59"/>
        <v>32</v>
      </c>
      <c r="I178" s="11"/>
      <c r="J178" s="13">
        <f t="shared" si="52"/>
        <v>28953.125</v>
      </c>
      <c r="K178" s="13">
        <f t="shared" si="53"/>
        <v>34743.75</v>
      </c>
      <c r="L178" s="13">
        <v>30000</v>
      </c>
      <c r="M178" s="13">
        <v>42500</v>
      </c>
      <c r="N178" s="14">
        <f t="shared" si="54"/>
        <v>1046.875</v>
      </c>
      <c r="O178" s="14">
        <f t="shared" si="55"/>
        <v>33500</v>
      </c>
    </row>
    <row r="179" spans="1:15" ht="16" x14ac:dyDescent="0.15">
      <c r="A179" s="56" t="s">
        <v>204</v>
      </c>
      <c r="B179" s="1" t="s">
        <v>68</v>
      </c>
      <c r="C179" s="7" t="s">
        <v>18</v>
      </c>
      <c r="D179" s="65">
        <v>195000</v>
      </c>
      <c r="E179" s="71">
        <v>5</v>
      </c>
      <c r="F179" s="11"/>
      <c r="H179" s="15">
        <f t="shared" si="59"/>
        <v>5</v>
      </c>
      <c r="I179" s="11"/>
      <c r="J179" s="13">
        <f t="shared" si="52"/>
        <v>39000</v>
      </c>
      <c r="K179" s="13">
        <f t="shared" si="53"/>
        <v>46800</v>
      </c>
      <c r="L179" s="13">
        <v>42000</v>
      </c>
      <c r="M179" s="13">
        <v>44000</v>
      </c>
      <c r="N179" s="14">
        <f t="shared" si="54"/>
        <v>3000</v>
      </c>
      <c r="O179" s="14">
        <f t="shared" si="55"/>
        <v>15000</v>
      </c>
    </row>
    <row r="180" spans="1:15" ht="16" x14ac:dyDescent="0.15">
      <c r="A180" s="34" t="s">
        <v>205</v>
      </c>
      <c r="B180" s="63" t="s">
        <v>68</v>
      </c>
      <c r="C180" s="36" t="s">
        <v>18</v>
      </c>
      <c r="D180" s="66">
        <v>275000</v>
      </c>
      <c r="E180" s="72">
        <v>5</v>
      </c>
      <c r="F180" s="38"/>
      <c r="H180" s="15">
        <f t="shared" si="59"/>
        <v>5</v>
      </c>
      <c r="I180" s="11"/>
      <c r="J180" s="13">
        <f t="shared" si="52"/>
        <v>55000</v>
      </c>
      <c r="K180" s="13">
        <f t="shared" si="53"/>
        <v>66000</v>
      </c>
      <c r="L180" s="13">
        <v>58000</v>
      </c>
      <c r="M180" s="13">
        <v>62490</v>
      </c>
      <c r="N180" s="14">
        <f t="shared" si="54"/>
        <v>3000</v>
      </c>
      <c r="O180" s="14">
        <f t="shared" si="55"/>
        <v>15000</v>
      </c>
    </row>
    <row r="181" spans="1:15" ht="15" x14ac:dyDescent="0.15">
      <c r="A181" s="49"/>
      <c r="B181" s="64"/>
      <c r="C181" s="64"/>
      <c r="D181" s="68"/>
      <c r="E181" s="73"/>
      <c r="F181" s="38"/>
      <c r="H181" s="15"/>
      <c r="I181" s="11"/>
      <c r="J181" s="13"/>
      <c r="K181" s="13"/>
      <c r="L181" s="13"/>
      <c r="M181" s="13"/>
      <c r="N181" s="14"/>
      <c r="O181" s="14"/>
    </row>
    <row r="182" spans="1:15" x14ac:dyDescent="0.15">
      <c r="A182" s="24" t="s">
        <v>212</v>
      </c>
      <c r="B182" s="11"/>
      <c r="C182" s="41"/>
      <c r="D182" s="46"/>
      <c r="E182" s="78"/>
      <c r="F182" s="11"/>
      <c r="H182" s="15"/>
      <c r="I182" s="11"/>
      <c r="J182" s="13"/>
      <c r="K182" s="13"/>
      <c r="L182" s="13"/>
      <c r="M182" s="13"/>
      <c r="N182" s="14"/>
      <c r="O182" s="14"/>
    </row>
    <row r="183" spans="1:15" x14ac:dyDescent="0.15">
      <c r="A183" s="11" t="s">
        <v>213</v>
      </c>
      <c r="B183" s="11" t="s">
        <v>186</v>
      </c>
      <c r="C183" s="41" t="s">
        <v>18</v>
      </c>
      <c r="D183" s="46">
        <v>17000</v>
      </c>
      <c r="E183" s="78">
        <v>10</v>
      </c>
      <c r="F183" s="11"/>
      <c r="H183" s="15">
        <f t="shared" ref="H183:H244" si="60">E183</f>
        <v>10</v>
      </c>
      <c r="I183" s="11"/>
      <c r="J183" s="13">
        <f>D183/H183</f>
        <v>1700</v>
      </c>
      <c r="K183" s="13">
        <f t="shared" ref="K183:K244" si="61">J183*$K$2</f>
        <v>2040</v>
      </c>
      <c r="L183" s="13"/>
      <c r="M183" s="13"/>
      <c r="N183" s="14">
        <f t="shared" ref="N183:N244" si="62">L183-J183</f>
        <v>-1700</v>
      </c>
      <c r="O183" s="14">
        <f t="shared" ref="O183:O244" si="63">H183*N183</f>
        <v>-17000</v>
      </c>
    </row>
    <row r="184" spans="1:15" x14ac:dyDescent="0.15">
      <c r="A184" s="80" t="s">
        <v>214</v>
      </c>
      <c r="B184" s="11" t="s">
        <v>186</v>
      </c>
      <c r="C184" s="41" t="s">
        <v>18</v>
      </c>
      <c r="D184" s="46">
        <v>25000</v>
      </c>
      <c r="E184" s="78">
        <v>10</v>
      </c>
      <c r="F184" s="11"/>
      <c r="H184" s="15">
        <f t="shared" si="60"/>
        <v>10</v>
      </c>
      <c r="I184" s="11"/>
      <c r="J184" s="13">
        <f t="shared" ref="J184:J244" si="64">D184/H184</f>
        <v>2500</v>
      </c>
      <c r="K184" s="13">
        <f t="shared" si="61"/>
        <v>3000</v>
      </c>
      <c r="L184" s="13">
        <v>3000</v>
      </c>
      <c r="M184" s="13"/>
      <c r="N184" s="14">
        <f t="shared" si="62"/>
        <v>500</v>
      </c>
      <c r="O184" s="14">
        <f t="shared" si="63"/>
        <v>5000</v>
      </c>
    </row>
    <row r="185" spans="1:15" x14ac:dyDescent="0.15">
      <c r="A185" s="80" t="s">
        <v>215</v>
      </c>
      <c r="B185" s="11" t="s">
        <v>186</v>
      </c>
      <c r="C185" s="41" t="s">
        <v>18</v>
      </c>
      <c r="D185" s="46">
        <v>30000</v>
      </c>
      <c r="E185" s="78">
        <v>10</v>
      </c>
      <c r="F185" s="11"/>
      <c r="H185" s="15">
        <f t="shared" si="60"/>
        <v>10</v>
      </c>
      <c r="I185" s="11"/>
      <c r="J185" s="13">
        <f t="shared" si="64"/>
        <v>3000</v>
      </c>
      <c r="K185" s="13">
        <f t="shared" si="61"/>
        <v>3600</v>
      </c>
      <c r="L185" s="13">
        <v>3500</v>
      </c>
      <c r="M185" s="13"/>
      <c r="N185" s="14">
        <f t="shared" si="62"/>
        <v>500</v>
      </c>
      <c r="O185" s="14">
        <f t="shared" si="63"/>
        <v>5000</v>
      </c>
    </row>
    <row r="186" spans="1:15" x14ac:dyDescent="0.15">
      <c r="A186" s="80" t="s">
        <v>216</v>
      </c>
      <c r="B186" s="11" t="s">
        <v>186</v>
      </c>
      <c r="C186" s="41" t="s">
        <v>18</v>
      </c>
      <c r="D186" s="46">
        <v>48000</v>
      </c>
      <c r="E186" s="78">
        <v>10</v>
      </c>
      <c r="F186" s="11"/>
      <c r="H186" s="15">
        <f t="shared" si="60"/>
        <v>10</v>
      </c>
      <c r="I186" s="11"/>
      <c r="J186" s="13">
        <f t="shared" si="64"/>
        <v>4800</v>
      </c>
      <c r="K186" s="13">
        <f t="shared" si="61"/>
        <v>5760</v>
      </c>
      <c r="L186" s="13">
        <v>5500</v>
      </c>
      <c r="M186" s="13"/>
      <c r="N186" s="14">
        <f t="shared" si="62"/>
        <v>700</v>
      </c>
      <c r="O186" s="14">
        <f t="shared" si="63"/>
        <v>7000</v>
      </c>
    </row>
    <row r="187" spans="1:15" x14ac:dyDescent="0.15">
      <c r="A187" s="80" t="s">
        <v>217</v>
      </c>
      <c r="B187" s="11" t="s">
        <v>186</v>
      </c>
      <c r="C187" s="41" t="s">
        <v>18</v>
      </c>
      <c r="D187" s="46">
        <v>75000</v>
      </c>
      <c r="E187" s="78">
        <v>10</v>
      </c>
      <c r="F187" s="11"/>
      <c r="H187" s="15">
        <f t="shared" si="60"/>
        <v>10</v>
      </c>
      <c r="I187" s="11"/>
      <c r="J187" s="13">
        <f t="shared" si="64"/>
        <v>7500</v>
      </c>
      <c r="K187" s="13">
        <f t="shared" si="61"/>
        <v>9000</v>
      </c>
      <c r="L187" s="13">
        <v>8000</v>
      </c>
      <c r="M187" s="13"/>
      <c r="N187" s="14">
        <f t="shared" si="62"/>
        <v>500</v>
      </c>
      <c r="O187" s="14">
        <f t="shared" si="63"/>
        <v>5000</v>
      </c>
    </row>
    <row r="188" spans="1:15" x14ac:dyDescent="0.15">
      <c r="A188" s="80" t="s">
        <v>218</v>
      </c>
      <c r="B188" s="11" t="s">
        <v>186</v>
      </c>
      <c r="C188" s="41" t="s">
        <v>18</v>
      </c>
      <c r="D188" s="46">
        <v>85000</v>
      </c>
      <c r="E188" s="78">
        <v>10</v>
      </c>
      <c r="F188" s="11"/>
      <c r="H188" s="15">
        <f t="shared" si="60"/>
        <v>10</v>
      </c>
      <c r="I188" s="11"/>
      <c r="J188" s="13">
        <f t="shared" si="64"/>
        <v>8500</v>
      </c>
      <c r="K188" s="13">
        <f t="shared" si="61"/>
        <v>10200</v>
      </c>
      <c r="L188" s="13">
        <v>9500</v>
      </c>
      <c r="M188" s="13"/>
      <c r="N188" s="14">
        <f t="shared" si="62"/>
        <v>1000</v>
      </c>
      <c r="O188" s="14">
        <f t="shared" si="63"/>
        <v>10000</v>
      </c>
    </row>
    <row r="189" spans="1:15" x14ac:dyDescent="0.15">
      <c r="A189" s="80" t="s">
        <v>219</v>
      </c>
      <c r="B189" s="11" t="s">
        <v>186</v>
      </c>
      <c r="C189" s="41" t="s">
        <v>18</v>
      </c>
      <c r="D189" s="46">
        <v>112000</v>
      </c>
      <c r="E189" s="78">
        <v>10</v>
      </c>
      <c r="F189" s="11"/>
      <c r="H189" s="15">
        <f t="shared" si="60"/>
        <v>10</v>
      </c>
      <c r="I189" s="11"/>
      <c r="J189" s="13">
        <f t="shared" si="64"/>
        <v>11200</v>
      </c>
      <c r="K189" s="13">
        <f t="shared" si="61"/>
        <v>13440</v>
      </c>
      <c r="L189" s="13">
        <v>12000</v>
      </c>
      <c r="M189" s="13"/>
      <c r="N189" s="14">
        <f t="shared" si="62"/>
        <v>800</v>
      </c>
      <c r="O189" s="14">
        <f t="shared" si="63"/>
        <v>8000</v>
      </c>
    </row>
    <row r="190" spans="1:15" x14ac:dyDescent="0.15">
      <c r="A190" s="11" t="s">
        <v>220</v>
      </c>
      <c r="B190" s="11" t="s">
        <v>91</v>
      </c>
      <c r="C190" s="41" t="s">
        <v>18</v>
      </c>
      <c r="D190" s="46">
        <v>28000</v>
      </c>
      <c r="E190" s="78">
        <v>1</v>
      </c>
      <c r="F190" s="11"/>
      <c r="H190" s="15">
        <f t="shared" si="60"/>
        <v>1</v>
      </c>
      <c r="I190" s="11"/>
      <c r="J190" s="13">
        <f t="shared" si="64"/>
        <v>28000</v>
      </c>
      <c r="K190" s="13">
        <f t="shared" si="61"/>
        <v>33600</v>
      </c>
      <c r="L190" s="13"/>
      <c r="M190" s="13"/>
      <c r="N190" s="14">
        <f t="shared" si="62"/>
        <v>-28000</v>
      </c>
      <c r="O190" s="14">
        <f t="shared" si="63"/>
        <v>-28000</v>
      </c>
    </row>
    <row r="191" spans="1:15" x14ac:dyDescent="0.15">
      <c r="A191" s="11" t="s">
        <v>221</v>
      </c>
      <c r="B191" s="11" t="s">
        <v>91</v>
      </c>
      <c r="C191" s="41" t="s">
        <v>18</v>
      </c>
      <c r="D191" s="46">
        <v>45000</v>
      </c>
      <c r="E191" s="78">
        <v>1</v>
      </c>
      <c r="F191" s="11"/>
      <c r="H191" s="15">
        <f t="shared" si="60"/>
        <v>1</v>
      </c>
      <c r="I191" s="11"/>
      <c r="J191" s="13">
        <f t="shared" si="64"/>
        <v>45000</v>
      </c>
      <c r="K191" s="13">
        <f t="shared" si="61"/>
        <v>54000</v>
      </c>
      <c r="L191" s="13"/>
      <c r="M191" s="13"/>
      <c r="N191" s="14">
        <f t="shared" si="62"/>
        <v>-45000</v>
      </c>
      <c r="O191" s="14">
        <f t="shared" si="63"/>
        <v>-45000</v>
      </c>
    </row>
    <row r="192" spans="1:15" x14ac:dyDescent="0.15">
      <c r="A192" s="11" t="s">
        <v>222</v>
      </c>
      <c r="B192" s="11" t="s">
        <v>91</v>
      </c>
      <c r="C192" s="41" t="s">
        <v>18</v>
      </c>
      <c r="D192" s="46">
        <v>62000</v>
      </c>
      <c r="E192" s="78">
        <v>1</v>
      </c>
      <c r="F192" s="11"/>
      <c r="H192" s="15">
        <f t="shared" si="60"/>
        <v>1</v>
      </c>
      <c r="I192" s="11"/>
      <c r="J192" s="13">
        <f t="shared" si="64"/>
        <v>62000</v>
      </c>
      <c r="K192" s="13">
        <f t="shared" si="61"/>
        <v>74400</v>
      </c>
      <c r="L192" s="13"/>
      <c r="M192" s="13"/>
      <c r="N192" s="14">
        <f t="shared" si="62"/>
        <v>-62000</v>
      </c>
      <c r="O192" s="14">
        <f t="shared" si="63"/>
        <v>-62000</v>
      </c>
    </row>
    <row r="193" spans="1:15" x14ac:dyDescent="0.15">
      <c r="A193" s="11" t="s">
        <v>223</v>
      </c>
      <c r="B193" s="11" t="s">
        <v>91</v>
      </c>
      <c r="C193" s="41" t="s">
        <v>18</v>
      </c>
      <c r="D193" s="46">
        <v>78500</v>
      </c>
      <c r="E193" s="78">
        <v>1</v>
      </c>
      <c r="F193" s="11"/>
      <c r="H193" s="15">
        <f t="shared" si="60"/>
        <v>1</v>
      </c>
      <c r="I193" s="11"/>
      <c r="J193" s="13">
        <f t="shared" si="64"/>
        <v>78500</v>
      </c>
      <c r="K193" s="13">
        <f t="shared" si="61"/>
        <v>94200</v>
      </c>
      <c r="L193" s="13"/>
      <c r="M193" s="13"/>
      <c r="N193" s="14">
        <f>L193-J193</f>
        <v>-78500</v>
      </c>
      <c r="O193" s="14">
        <f t="shared" si="63"/>
        <v>-78500</v>
      </c>
    </row>
    <row r="194" spans="1:15" x14ac:dyDescent="0.15">
      <c r="A194" s="11"/>
      <c r="B194" s="11"/>
      <c r="C194" s="41"/>
      <c r="D194" s="46"/>
      <c r="E194" s="78"/>
      <c r="F194" s="11"/>
      <c r="H194" s="15"/>
      <c r="I194" s="11"/>
      <c r="J194" s="13"/>
      <c r="K194" s="13"/>
      <c r="L194" s="13"/>
      <c r="M194" s="13"/>
      <c r="N194" s="14"/>
      <c r="O194" s="14"/>
    </row>
    <row r="195" spans="1:15" x14ac:dyDescent="0.15">
      <c r="A195" s="24" t="s">
        <v>224</v>
      </c>
      <c r="B195" s="11"/>
      <c r="C195" s="41"/>
      <c r="D195" s="46"/>
      <c r="E195" s="78"/>
      <c r="F195" s="11"/>
      <c r="H195" s="15"/>
      <c r="I195" s="11"/>
      <c r="J195" s="13"/>
      <c r="K195" s="13"/>
      <c r="L195" s="13"/>
      <c r="M195" s="13"/>
      <c r="N195" s="14"/>
      <c r="O195" s="14"/>
    </row>
    <row r="196" spans="1:15" x14ac:dyDescent="0.15">
      <c r="A196" s="80" t="s">
        <v>225</v>
      </c>
      <c r="B196" s="11" t="s">
        <v>186</v>
      </c>
      <c r="C196" s="41" t="s">
        <v>18</v>
      </c>
      <c r="D196" s="46">
        <v>17000</v>
      </c>
      <c r="E196" s="78">
        <v>10</v>
      </c>
      <c r="F196" s="11"/>
      <c r="H196" s="15">
        <f t="shared" si="60"/>
        <v>10</v>
      </c>
      <c r="I196" s="11"/>
      <c r="J196" s="13">
        <f t="shared" si="64"/>
        <v>1700</v>
      </c>
      <c r="K196" s="13">
        <f t="shared" si="61"/>
        <v>2040</v>
      </c>
      <c r="L196" s="13">
        <v>2500</v>
      </c>
      <c r="M196" s="13"/>
      <c r="N196" s="14">
        <f t="shared" si="62"/>
        <v>800</v>
      </c>
      <c r="O196" s="14">
        <f t="shared" si="63"/>
        <v>8000</v>
      </c>
    </row>
    <row r="197" spans="1:15" x14ac:dyDescent="0.15">
      <c r="A197" s="11" t="s">
        <v>226</v>
      </c>
      <c r="B197" s="11" t="s">
        <v>186</v>
      </c>
      <c r="C197" s="41" t="s">
        <v>18</v>
      </c>
      <c r="D197" s="46">
        <v>22000</v>
      </c>
      <c r="E197" s="78">
        <v>10</v>
      </c>
      <c r="F197" s="11"/>
      <c r="H197" s="15">
        <f t="shared" si="60"/>
        <v>10</v>
      </c>
      <c r="I197" s="11"/>
      <c r="J197" s="13">
        <f t="shared" si="64"/>
        <v>2200</v>
      </c>
      <c r="K197" s="13">
        <f t="shared" si="61"/>
        <v>2640</v>
      </c>
      <c r="L197" s="13"/>
      <c r="M197" s="13"/>
      <c r="N197" s="14">
        <f t="shared" si="62"/>
        <v>-2200</v>
      </c>
      <c r="O197" s="14">
        <f t="shared" si="63"/>
        <v>-22000</v>
      </c>
    </row>
    <row r="198" spans="1:15" x14ac:dyDescent="0.15">
      <c r="A198" s="11" t="s">
        <v>227</v>
      </c>
      <c r="B198" s="11" t="s">
        <v>186</v>
      </c>
      <c r="C198" s="41" t="s">
        <v>18</v>
      </c>
      <c r="D198" s="46">
        <v>27500</v>
      </c>
      <c r="E198" s="78">
        <v>10</v>
      </c>
      <c r="F198" s="11"/>
      <c r="H198" s="15">
        <f t="shared" si="60"/>
        <v>10</v>
      </c>
      <c r="I198" s="11"/>
      <c r="J198" s="13">
        <f t="shared" si="64"/>
        <v>2750</v>
      </c>
      <c r="K198" s="13">
        <f t="shared" si="61"/>
        <v>3300</v>
      </c>
      <c r="L198" s="13"/>
      <c r="M198" s="13"/>
      <c r="N198" s="14">
        <f t="shared" si="62"/>
        <v>-2750</v>
      </c>
      <c r="O198" s="14">
        <f t="shared" si="63"/>
        <v>-27500</v>
      </c>
    </row>
    <row r="199" spans="1:15" x14ac:dyDescent="0.15">
      <c r="A199" s="80" t="s">
        <v>228</v>
      </c>
      <c r="B199" s="11" t="s">
        <v>186</v>
      </c>
      <c r="C199" s="41" t="s">
        <v>18</v>
      </c>
      <c r="D199" s="46">
        <v>20000</v>
      </c>
      <c r="E199" s="78">
        <v>10</v>
      </c>
      <c r="F199" s="11"/>
      <c r="H199" s="15">
        <f t="shared" si="60"/>
        <v>10</v>
      </c>
      <c r="I199" s="11"/>
      <c r="J199" s="13">
        <f t="shared" si="64"/>
        <v>2000</v>
      </c>
      <c r="K199" s="13">
        <f t="shared" si="61"/>
        <v>2400</v>
      </c>
      <c r="L199" s="13">
        <v>2500</v>
      </c>
      <c r="M199" s="13"/>
      <c r="N199" s="14">
        <f t="shared" si="62"/>
        <v>500</v>
      </c>
      <c r="O199" s="14">
        <f t="shared" si="63"/>
        <v>5000</v>
      </c>
    </row>
    <row r="200" spans="1:15" x14ac:dyDescent="0.15">
      <c r="A200" s="11" t="s">
        <v>216</v>
      </c>
      <c r="B200" s="11" t="s">
        <v>186</v>
      </c>
      <c r="C200" s="41" t="s">
        <v>18</v>
      </c>
      <c r="D200" s="46">
        <v>25000</v>
      </c>
      <c r="E200" s="78">
        <v>10</v>
      </c>
      <c r="F200" s="11"/>
      <c r="H200" s="15">
        <f t="shared" si="60"/>
        <v>10</v>
      </c>
      <c r="I200" s="11"/>
      <c r="J200" s="13">
        <f t="shared" si="64"/>
        <v>2500</v>
      </c>
      <c r="K200" s="13">
        <f t="shared" si="61"/>
        <v>3000</v>
      </c>
      <c r="L200" s="13"/>
      <c r="M200" s="13"/>
      <c r="N200" s="14">
        <f t="shared" si="62"/>
        <v>-2500</v>
      </c>
      <c r="O200" s="14">
        <f t="shared" si="63"/>
        <v>-25000</v>
      </c>
    </row>
    <row r="201" spans="1:15" x14ac:dyDescent="0.15">
      <c r="A201" s="80" t="s">
        <v>229</v>
      </c>
      <c r="B201" s="11" t="s">
        <v>186</v>
      </c>
      <c r="C201" s="41" t="s">
        <v>18</v>
      </c>
      <c r="D201" s="46">
        <v>26000</v>
      </c>
      <c r="E201" s="78">
        <v>10</v>
      </c>
      <c r="F201" s="11"/>
      <c r="H201" s="15">
        <f t="shared" si="60"/>
        <v>10</v>
      </c>
      <c r="I201" s="11"/>
      <c r="J201" s="13">
        <f t="shared" si="64"/>
        <v>2600</v>
      </c>
      <c r="K201" s="13">
        <f t="shared" si="61"/>
        <v>3120</v>
      </c>
      <c r="L201" s="13">
        <v>3000</v>
      </c>
      <c r="M201" s="13"/>
      <c r="N201" s="14">
        <f t="shared" si="62"/>
        <v>400</v>
      </c>
      <c r="O201" s="14">
        <f t="shared" si="63"/>
        <v>4000</v>
      </c>
    </row>
    <row r="202" spans="1:15" x14ac:dyDescent="0.15">
      <c r="A202" s="80" t="s">
        <v>230</v>
      </c>
      <c r="B202" s="11" t="s">
        <v>186</v>
      </c>
      <c r="C202" s="41" t="s">
        <v>18</v>
      </c>
      <c r="D202" s="46">
        <v>30000</v>
      </c>
      <c r="E202" s="78">
        <v>10</v>
      </c>
      <c r="F202" s="11"/>
      <c r="H202" s="15">
        <f t="shared" si="60"/>
        <v>10</v>
      </c>
      <c r="I202" s="11"/>
      <c r="J202" s="13">
        <f t="shared" si="64"/>
        <v>3000</v>
      </c>
      <c r="K202" s="13">
        <f t="shared" si="61"/>
        <v>3600</v>
      </c>
      <c r="L202" s="13">
        <v>3500</v>
      </c>
      <c r="M202" s="13"/>
      <c r="N202" s="14">
        <f t="shared" si="62"/>
        <v>500</v>
      </c>
      <c r="O202" s="14">
        <f t="shared" si="63"/>
        <v>5000</v>
      </c>
    </row>
    <row r="203" spans="1:15" x14ac:dyDescent="0.15">
      <c r="A203" s="80" t="s">
        <v>231</v>
      </c>
      <c r="B203" s="11" t="s">
        <v>186</v>
      </c>
      <c r="C203" s="41" t="s">
        <v>18</v>
      </c>
      <c r="D203" s="46">
        <v>45000</v>
      </c>
      <c r="E203" s="78">
        <v>10</v>
      </c>
      <c r="F203" s="11"/>
      <c r="H203" s="15">
        <f t="shared" si="60"/>
        <v>10</v>
      </c>
      <c r="I203" s="11"/>
      <c r="J203" s="13">
        <f t="shared" si="64"/>
        <v>4500</v>
      </c>
      <c r="K203" s="13">
        <f t="shared" si="61"/>
        <v>5400</v>
      </c>
      <c r="L203" s="13">
        <v>5000</v>
      </c>
      <c r="M203" s="13"/>
      <c r="N203" s="14">
        <f t="shared" si="62"/>
        <v>500</v>
      </c>
      <c r="O203" s="14">
        <f t="shared" si="63"/>
        <v>5000</v>
      </c>
    </row>
    <row r="204" spans="1:15" x14ac:dyDescent="0.15">
      <c r="A204" s="11" t="s">
        <v>232</v>
      </c>
      <c r="B204" s="11" t="s">
        <v>186</v>
      </c>
      <c r="C204" s="41" t="s">
        <v>18</v>
      </c>
      <c r="D204" s="46">
        <v>47000</v>
      </c>
      <c r="E204" s="78">
        <v>10</v>
      </c>
      <c r="F204" s="11"/>
      <c r="H204" s="15">
        <f t="shared" si="60"/>
        <v>10</v>
      </c>
      <c r="I204" s="11"/>
      <c r="J204" s="13">
        <f t="shared" si="64"/>
        <v>4700</v>
      </c>
      <c r="K204" s="13">
        <f t="shared" si="61"/>
        <v>5640</v>
      </c>
      <c r="L204" s="13"/>
      <c r="M204" s="13"/>
      <c r="N204" s="14">
        <f t="shared" si="62"/>
        <v>-4700</v>
      </c>
      <c r="O204" s="14">
        <f t="shared" si="63"/>
        <v>-47000</v>
      </c>
    </row>
    <row r="205" spans="1:15" x14ac:dyDescent="0.15">
      <c r="A205" s="80" t="s">
        <v>233</v>
      </c>
      <c r="B205" s="11" t="s">
        <v>186</v>
      </c>
      <c r="C205" s="41" t="s">
        <v>18</v>
      </c>
      <c r="D205" s="46">
        <v>30000</v>
      </c>
      <c r="E205" s="78">
        <v>10</v>
      </c>
      <c r="F205" s="11"/>
      <c r="H205" s="15">
        <f t="shared" si="60"/>
        <v>10</v>
      </c>
      <c r="I205" s="11"/>
      <c r="J205" s="13">
        <f t="shared" si="64"/>
        <v>3000</v>
      </c>
      <c r="K205" s="13">
        <f t="shared" si="61"/>
        <v>3600</v>
      </c>
      <c r="L205" s="13">
        <v>3500</v>
      </c>
      <c r="M205" s="13"/>
      <c r="N205" s="14">
        <f t="shared" si="62"/>
        <v>500</v>
      </c>
      <c r="O205" s="14">
        <f t="shared" si="63"/>
        <v>5000</v>
      </c>
    </row>
    <row r="206" spans="1:15" x14ac:dyDescent="0.15">
      <c r="A206" s="11" t="s">
        <v>234</v>
      </c>
      <c r="B206" s="11" t="s">
        <v>186</v>
      </c>
      <c r="C206" s="41" t="s">
        <v>18</v>
      </c>
      <c r="D206" s="46">
        <v>35000</v>
      </c>
      <c r="E206" s="78">
        <v>10</v>
      </c>
      <c r="F206" s="11"/>
      <c r="H206" s="15">
        <f t="shared" si="60"/>
        <v>10</v>
      </c>
      <c r="I206" s="11"/>
      <c r="J206" s="13">
        <f t="shared" si="64"/>
        <v>3500</v>
      </c>
      <c r="K206" s="13">
        <f t="shared" si="61"/>
        <v>4200</v>
      </c>
      <c r="L206" s="13"/>
      <c r="M206" s="13"/>
      <c r="N206" s="14">
        <f t="shared" si="62"/>
        <v>-3500</v>
      </c>
      <c r="O206" s="14">
        <f t="shared" si="63"/>
        <v>-35000</v>
      </c>
    </row>
    <row r="207" spans="1:15" x14ac:dyDescent="0.15">
      <c r="A207" s="11" t="s">
        <v>235</v>
      </c>
      <c r="B207" s="11" t="s">
        <v>186</v>
      </c>
      <c r="C207" s="41" t="s">
        <v>18</v>
      </c>
      <c r="D207" s="46">
        <v>38500</v>
      </c>
      <c r="E207" s="78">
        <v>10</v>
      </c>
      <c r="F207" s="11"/>
      <c r="H207" s="15">
        <f t="shared" si="60"/>
        <v>10</v>
      </c>
      <c r="I207" s="11"/>
      <c r="J207" s="13">
        <f t="shared" si="64"/>
        <v>3850</v>
      </c>
      <c r="K207" s="13">
        <f t="shared" si="61"/>
        <v>4620</v>
      </c>
      <c r="L207" s="13"/>
      <c r="M207" s="13"/>
      <c r="N207" s="14">
        <f t="shared" si="62"/>
        <v>-3850</v>
      </c>
      <c r="O207" s="14">
        <f t="shared" si="63"/>
        <v>-38500</v>
      </c>
    </row>
    <row r="208" spans="1:15" x14ac:dyDescent="0.15">
      <c r="A208" s="80" t="s">
        <v>236</v>
      </c>
      <c r="B208" s="11" t="s">
        <v>186</v>
      </c>
      <c r="C208" s="41" t="s">
        <v>18</v>
      </c>
      <c r="D208" s="46">
        <v>40000</v>
      </c>
      <c r="E208" s="78">
        <v>10</v>
      </c>
      <c r="F208" s="11"/>
      <c r="H208" s="15">
        <f t="shared" si="60"/>
        <v>10</v>
      </c>
      <c r="I208" s="11"/>
      <c r="J208" s="13">
        <f t="shared" si="64"/>
        <v>4000</v>
      </c>
      <c r="K208" s="13">
        <f t="shared" si="61"/>
        <v>4800</v>
      </c>
      <c r="L208" s="13">
        <v>4500</v>
      </c>
      <c r="M208" s="13"/>
      <c r="N208" s="14">
        <f t="shared" si="62"/>
        <v>500</v>
      </c>
      <c r="O208" s="14">
        <f t="shared" si="63"/>
        <v>5000</v>
      </c>
    </row>
    <row r="209" spans="1:15" x14ac:dyDescent="0.15">
      <c r="A209" s="80" t="s">
        <v>237</v>
      </c>
      <c r="B209" s="11" t="s">
        <v>186</v>
      </c>
      <c r="C209" s="41" t="s">
        <v>18</v>
      </c>
      <c r="D209" s="46">
        <v>45000</v>
      </c>
      <c r="E209" s="78">
        <v>10</v>
      </c>
      <c r="F209" s="11"/>
      <c r="H209" s="15">
        <f t="shared" si="60"/>
        <v>10</v>
      </c>
      <c r="I209" s="11"/>
      <c r="J209" s="13">
        <f t="shared" si="64"/>
        <v>4500</v>
      </c>
      <c r="K209" s="13">
        <f t="shared" si="61"/>
        <v>5400</v>
      </c>
      <c r="L209" s="13">
        <v>5000</v>
      </c>
      <c r="M209" s="13"/>
      <c r="N209" s="14">
        <f t="shared" si="62"/>
        <v>500</v>
      </c>
      <c r="O209" s="14">
        <f t="shared" si="63"/>
        <v>5000</v>
      </c>
    </row>
    <row r="210" spans="1:15" x14ac:dyDescent="0.15">
      <c r="A210" s="80" t="s">
        <v>218</v>
      </c>
      <c r="B210" s="11" t="s">
        <v>186</v>
      </c>
      <c r="C210" s="41" t="s">
        <v>18</v>
      </c>
      <c r="D210" s="46">
        <v>50000</v>
      </c>
      <c r="E210" s="78">
        <v>10</v>
      </c>
      <c r="F210" s="11"/>
      <c r="H210" s="15">
        <f t="shared" si="60"/>
        <v>10</v>
      </c>
      <c r="I210" s="11"/>
      <c r="J210" s="13">
        <f t="shared" si="64"/>
        <v>5000</v>
      </c>
      <c r="K210" s="13">
        <f t="shared" si="61"/>
        <v>6000</v>
      </c>
      <c r="L210" s="13">
        <v>5500</v>
      </c>
      <c r="M210" s="13"/>
      <c r="N210" s="14">
        <f t="shared" si="62"/>
        <v>500</v>
      </c>
      <c r="O210" s="14">
        <f t="shared" si="63"/>
        <v>5000</v>
      </c>
    </row>
    <row r="211" spans="1:15" x14ac:dyDescent="0.15">
      <c r="A211" s="11" t="s">
        <v>238</v>
      </c>
      <c r="B211" s="11" t="s">
        <v>186</v>
      </c>
      <c r="C211" s="41" t="s">
        <v>18</v>
      </c>
      <c r="D211" s="46">
        <v>61000</v>
      </c>
      <c r="E211" s="78">
        <v>10</v>
      </c>
      <c r="F211" s="11"/>
      <c r="H211" s="15">
        <f t="shared" si="60"/>
        <v>10</v>
      </c>
      <c r="I211" s="11"/>
      <c r="J211" s="13">
        <f t="shared" si="64"/>
        <v>6100</v>
      </c>
      <c r="K211" s="13">
        <f t="shared" si="61"/>
        <v>7320</v>
      </c>
      <c r="L211" s="13"/>
      <c r="M211" s="13"/>
      <c r="N211" s="14">
        <f t="shared" si="62"/>
        <v>-6100</v>
      </c>
      <c r="O211" s="14">
        <f t="shared" si="63"/>
        <v>-61000</v>
      </c>
    </row>
    <row r="212" spans="1:15" x14ac:dyDescent="0.15">
      <c r="A212" s="80" t="s">
        <v>239</v>
      </c>
      <c r="B212" s="11" t="s">
        <v>186</v>
      </c>
      <c r="C212" s="41" t="s">
        <v>18</v>
      </c>
      <c r="D212" s="46">
        <v>43000</v>
      </c>
      <c r="E212" s="78">
        <v>10</v>
      </c>
      <c r="F212" s="11"/>
      <c r="H212" s="15">
        <f t="shared" si="60"/>
        <v>10</v>
      </c>
      <c r="I212" s="11"/>
      <c r="J212" s="13">
        <f t="shared" si="64"/>
        <v>4300</v>
      </c>
      <c r="K212" s="13">
        <f t="shared" si="61"/>
        <v>5160</v>
      </c>
      <c r="L212" s="13">
        <v>5000</v>
      </c>
      <c r="M212" s="13"/>
      <c r="N212" s="14">
        <f t="shared" si="62"/>
        <v>700</v>
      </c>
      <c r="O212" s="14">
        <f t="shared" si="63"/>
        <v>7000</v>
      </c>
    </row>
    <row r="213" spans="1:15" x14ac:dyDescent="0.15">
      <c r="A213" s="11" t="s">
        <v>240</v>
      </c>
      <c r="B213" s="11" t="s">
        <v>186</v>
      </c>
      <c r="C213" s="41" t="s">
        <v>18</v>
      </c>
      <c r="D213" s="46">
        <v>65000</v>
      </c>
      <c r="E213" s="78">
        <v>10</v>
      </c>
      <c r="F213" s="11"/>
      <c r="H213" s="15">
        <f t="shared" si="60"/>
        <v>10</v>
      </c>
      <c r="I213" s="11"/>
      <c r="J213" s="13">
        <f t="shared" si="64"/>
        <v>6500</v>
      </c>
      <c r="K213" s="13">
        <f t="shared" si="61"/>
        <v>7800</v>
      </c>
      <c r="L213" s="13"/>
      <c r="M213" s="13"/>
      <c r="N213" s="14">
        <f t="shared" si="62"/>
        <v>-6500</v>
      </c>
      <c r="O213" s="14">
        <f t="shared" si="63"/>
        <v>-65000</v>
      </c>
    </row>
    <row r="214" spans="1:15" x14ac:dyDescent="0.15">
      <c r="A214" s="11" t="s">
        <v>241</v>
      </c>
      <c r="B214" s="11" t="s">
        <v>186</v>
      </c>
      <c r="C214" s="41" t="s">
        <v>18</v>
      </c>
      <c r="D214" s="46">
        <v>68000</v>
      </c>
      <c r="E214" s="78">
        <v>10</v>
      </c>
      <c r="F214" s="11"/>
      <c r="H214" s="15">
        <f t="shared" si="60"/>
        <v>10</v>
      </c>
      <c r="I214" s="11"/>
      <c r="J214" s="13">
        <f t="shared" si="64"/>
        <v>6800</v>
      </c>
      <c r="K214" s="13">
        <f t="shared" si="61"/>
        <v>8160</v>
      </c>
      <c r="L214" s="13"/>
      <c r="M214" s="13"/>
      <c r="N214" s="14">
        <f t="shared" si="62"/>
        <v>-6800</v>
      </c>
      <c r="O214" s="14">
        <f t="shared" si="63"/>
        <v>-68000</v>
      </c>
    </row>
    <row r="215" spans="1:15" x14ac:dyDescent="0.15">
      <c r="A215" s="80" t="s">
        <v>242</v>
      </c>
      <c r="B215" s="11" t="s">
        <v>186</v>
      </c>
      <c r="C215" s="41" t="s">
        <v>18</v>
      </c>
      <c r="D215" s="46">
        <v>42000</v>
      </c>
      <c r="E215" s="78">
        <v>10</v>
      </c>
      <c r="F215" s="11"/>
      <c r="H215" s="15">
        <f t="shared" si="60"/>
        <v>10</v>
      </c>
      <c r="I215" s="11"/>
      <c r="J215" s="13">
        <f t="shared" si="64"/>
        <v>4200</v>
      </c>
      <c r="K215" s="13">
        <f t="shared" si="61"/>
        <v>5040</v>
      </c>
      <c r="L215" s="13">
        <v>5000</v>
      </c>
      <c r="M215" s="13"/>
      <c r="N215" s="14">
        <f t="shared" si="62"/>
        <v>800</v>
      </c>
      <c r="O215" s="14">
        <f t="shared" si="63"/>
        <v>8000</v>
      </c>
    </row>
    <row r="216" spans="1:15" x14ac:dyDescent="0.15">
      <c r="A216" s="11" t="s">
        <v>243</v>
      </c>
      <c r="B216" s="11" t="s">
        <v>186</v>
      </c>
      <c r="C216" s="41" t="s">
        <v>18</v>
      </c>
      <c r="D216" s="46">
        <v>65000</v>
      </c>
      <c r="E216" s="78">
        <v>10</v>
      </c>
      <c r="F216" s="11"/>
      <c r="H216" s="15">
        <f t="shared" si="60"/>
        <v>10</v>
      </c>
      <c r="I216" s="11"/>
      <c r="J216" s="13">
        <f t="shared" si="64"/>
        <v>6500</v>
      </c>
      <c r="K216" s="13">
        <f t="shared" si="61"/>
        <v>7800</v>
      </c>
      <c r="L216" s="13"/>
      <c r="M216" s="13"/>
      <c r="N216" s="14">
        <f t="shared" si="62"/>
        <v>-6500</v>
      </c>
      <c r="O216" s="14">
        <f t="shared" si="63"/>
        <v>-65000</v>
      </c>
    </row>
    <row r="217" spans="1:15" x14ac:dyDescent="0.15">
      <c r="A217" s="11" t="s">
        <v>244</v>
      </c>
      <c r="B217" s="11" t="s">
        <v>186</v>
      </c>
      <c r="C217" s="41" t="s">
        <v>18</v>
      </c>
      <c r="D217" s="46">
        <v>71000</v>
      </c>
      <c r="E217" s="78">
        <v>10</v>
      </c>
      <c r="F217" s="11"/>
      <c r="H217" s="15">
        <f t="shared" si="60"/>
        <v>10</v>
      </c>
      <c r="I217" s="11"/>
      <c r="J217" s="13">
        <f t="shared" si="64"/>
        <v>7100</v>
      </c>
      <c r="K217" s="13">
        <f t="shared" si="61"/>
        <v>8520</v>
      </c>
      <c r="L217" s="13"/>
      <c r="M217" s="13"/>
      <c r="N217" s="14">
        <f t="shared" si="62"/>
        <v>-7100</v>
      </c>
      <c r="O217" s="14">
        <f t="shared" si="63"/>
        <v>-71000</v>
      </c>
    </row>
    <row r="218" spans="1:15" x14ac:dyDescent="0.15">
      <c r="A218" s="80" t="s">
        <v>245</v>
      </c>
      <c r="B218" s="11" t="s">
        <v>186</v>
      </c>
      <c r="C218" s="41" t="s">
        <v>18</v>
      </c>
      <c r="D218" s="46">
        <v>50000</v>
      </c>
      <c r="E218" s="78">
        <v>10</v>
      </c>
      <c r="F218" s="11"/>
      <c r="H218" s="15">
        <f t="shared" si="60"/>
        <v>10</v>
      </c>
      <c r="I218" s="11"/>
      <c r="J218" s="13">
        <f t="shared" si="64"/>
        <v>5000</v>
      </c>
      <c r="K218" s="13">
        <f t="shared" si="61"/>
        <v>6000</v>
      </c>
      <c r="L218" s="13">
        <v>6000</v>
      </c>
      <c r="M218" s="13"/>
      <c r="N218" s="14">
        <f t="shared" si="62"/>
        <v>1000</v>
      </c>
      <c r="O218" s="14">
        <f t="shared" si="63"/>
        <v>10000</v>
      </c>
    </row>
    <row r="219" spans="1:15" x14ac:dyDescent="0.15">
      <c r="A219" s="11" t="s">
        <v>246</v>
      </c>
      <c r="B219" s="11" t="s">
        <v>186</v>
      </c>
      <c r="C219" s="41" t="s">
        <v>18</v>
      </c>
      <c r="D219" s="46">
        <v>87000</v>
      </c>
      <c r="E219" s="78">
        <v>10</v>
      </c>
      <c r="F219" s="11"/>
      <c r="H219" s="15">
        <f t="shared" si="60"/>
        <v>10</v>
      </c>
      <c r="I219" s="11"/>
      <c r="J219" s="13">
        <f t="shared" si="64"/>
        <v>8700</v>
      </c>
      <c r="K219" s="13">
        <f t="shared" si="61"/>
        <v>10440</v>
      </c>
      <c r="L219" s="13"/>
      <c r="M219" s="13"/>
      <c r="N219" s="14">
        <f t="shared" si="62"/>
        <v>-8700</v>
      </c>
      <c r="O219" s="14">
        <f t="shared" si="63"/>
        <v>-87000</v>
      </c>
    </row>
    <row r="220" spans="1:15" x14ac:dyDescent="0.15">
      <c r="A220" s="11" t="s">
        <v>247</v>
      </c>
      <c r="B220" s="11" t="s">
        <v>186</v>
      </c>
      <c r="C220" s="41" t="s">
        <v>18</v>
      </c>
      <c r="D220" s="46">
        <v>60000</v>
      </c>
      <c r="E220" s="78">
        <v>10</v>
      </c>
      <c r="F220" s="11"/>
      <c r="H220" s="15">
        <f t="shared" si="60"/>
        <v>10</v>
      </c>
      <c r="I220" s="11"/>
      <c r="J220" s="13">
        <f t="shared" si="64"/>
        <v>6000</v>
      </c>
      <c r="K220" s="13">
        <f t="shared" si="61"/>
        <v>7200</v>
      </c>
      <c r="L220" s="13"/>
      <c r="M220" s="13"/>
      <c r="N220" s="14">
        <f t="shared" si="62"/>
        <v>-6000</v>
      </c>
      <c r="O220" s="14">
        <f t="shared" si="63"/>
        <v>-60000</v>
      </c>
    </row>
    <row r="221" spans="1:15" x14ac:dyDescent="0.15">
      <c r="A221" s="11" t="s">
        <v>248</v>
      </c>
      <c r="B221" s="11" t="s">
        <v>186</v>
      </c>
      <c r="C221" s="41" t="s">
        <v>18</v>
      </c>
      <c r="D221" s="46">
        <v>85000</v>
      </c>
      <c r="E221" s="78">
        <v>10</v>
      </c>
      <c r="F221" s="11"/>
      <c r="H221" s="15">
        <f t="shared" si="60"/>
        <v>10</v>
      </c>
      <c r="I221" s="11"/>
      <c r="J221" s="13">
        <f t="shared" si="64"/>
        <v>8500</v>
      </c>
      <c r="K221" s="13">
        <f t="shared" si="61"/>
        <v>10200</v>
      </c>
      <c r="L221" s="13">
        <v>9000</v>
      </c>
      <c r="M221" s="13"/>
      <c r="N221" s="14">
        <f t="shared" si="62"/>
        <v>500</v>
      </c>
      <c r="O221" s="14">
        <f t="shared" si="63"/>
        <v>5000</v>
      </c>
    </row>
    <row r="222" spans="1:15" x14ac:dyDescent="0.15">
      <c r="A222" s="11" t="s">
        <v>249</v>
      </c>
      <c r="B222" s="11" t="s">
        <v>186</v>
      </c>
      <c r="C222" s="41" t="s">
        <v>18</v>
      </c>
      <c r="D222" s="46">
        <v>65000</v>
      </c>
      <c r="E222" s="78">
        <v>10</v>
      </c>
      <c r="F222" s="11"/>
      <c r="H222" s="15">
        <f t="shared" si="60"/>
        <v>10</v>
      </c>
      <c r="I222" s="11"/>
      <c r="J222" s="13">
        <f t="shared" si="64"/>
        <v>6500</v>
      </c>
      <c r="K222" s="13">
        <f t="shared" si="61"/>
        <v>7800</v>
      </c>
      <c r="L222" s="13"/>
      <c r="M222" s="13"/>
      <c r="N222" s="14">
        <f t="shared" si="62"/>
        <v>-6500</v>
      </c>
      <c r="O222" s="14">
        <f t="shared" si="63"/>
        <v>-65000</v>
      </c>
    </row>
    <row r="223" spans="1:15" x14ac:dyDescent="0.15">
      <c r="A223" s="80" t="s">
        <v>250</v>
      </c>
      <c r="B223" s="11" t="s">
        <v>186</v>
      </c>
      <c r="C223" s="41" t="s">
        <v>18</v>
      </c>
      <c r="D223" s="46">
        <v>100000</v>
      </c>
      <c r="E223" s="78">
        <v>10</v>
      </c>
      <c r="F223" s="11"/>
      <c r="H223" s="15">
        <f t="shared" si="60"/>
        <v>10</v>
      </c>
      <c r="I223" s="11"/>
      <c r="J223" s="13">
        <f t="shared" si="64"/>
        <v>10000</v>
      </c>
      <c r="K223" s="13">
        <f t="shared" si="61"/>
        <v>12000</v>
      </c>
      <c r="L223" s="13">
        <v>11000</v>
      </c>
      <c r="M223" s="13"/>
      <c r="N223" s="14">
        <f t="shared" si="62"/>
        <v>1000</v>
      </c>
      <c r="O223" s="14">
        <f t="shared" si="63"/>
        <v>10000</v>
      </c>
    </row>
    <row r="224" spans="1:15" x14ac:dyDescent="0.15">
      <c r="A224" s="11" t="s">
        <v>251</v>
      </c>
      <c r="B224" s="11" t="s">
        <v>186</v>
      </c>
      <c r="C224" s="41" t="s">
        <v>18</v>
      </c>
      <c r="D224" s="46">
        <v>80000</v>
      </c>
      <c r="E224" s="78">
        <v>10</v>
      </c>
      <c r="F224" s="11"/>
      <c r="H224" s="15">
        <f t="shared" si="60"/>
        <v>10</v>
      </c>
      <c r="I224" s="11"/>
      <c r="J224" s="13">
        <f t="shared" si="64"/>
        <v>8000</v>
      </c>
      <c r="K224" s="13">
        <f t="shared" si="61"/>
        <v>9600</v>
      </c>
      <c r="L224" s="13"/>
      <c r="M224" s="13"/>
      <c r="N224" s="14">
        <f t="shared" si="62"/>
        <v>-8000</v>
      </c>
      <c r="O224" s="14">
        <f t="shared" si="63"/>
        <v>-80000</v>
      </c>
    </row>
    <row r="225" spans="1:15" x14ac:dyDescent="0.15">
      <c r="A225" s="11" t="s">
        <v>252</v>
      </c>
      <c r="B225" s="11" t="s">
        <v>186</v>
      </c>
      <c r="C225" s="41" t="s">
        <v>18</v>
      </c>
      <c r="D225" s="46">
        <v>100000</v>
      </c>
      <c r="E225" s="78">
        <v>10</v>
      </c>
      <c r="F225" s="11"/>
      <c r="H225" s="15">
        <f t="shared" si="60"/>
        <v>10</v>
      </c>
      <c r="I225" s="11"/>
      <c r="J225" s="13">
        <f t="shared" si="64"/>
        <v>10000</v>
      </c>
      <c r="K225" s="13">
        <f t="shared" si="61"/>
        <v>12000</v>
      </c>
      <c r="L225" s="13"/>
      <c r="M225" s="13"/>
      <c r="N225" s="14">
        <f t="shared" si="62"/>
        <v>-10000</v>
      </c>
      <c r="O225" s="14">
        <f t="shared" si="63"/>
        <v>-100000</v>
      </c>
    </row>
    <row r="226" spans="1:15" x14ac:dyDescent="0.15">
      <c r="A226" s="11" t="s">
        <v>253</v>
      </c>
      <c r="B226" s="11" t="s">
        <v>186</v>
      </c>
      <c r="C226" s="41" t="s">
        <v>18</v>
      </c>
      <c r="D226" s="46">
        <v>110000</v>
      </c>
      <c r="E226" s="78">
        <v>10</v>
      </c>
      <c r="F226" s="11"/>
      <c r="H226" s="15">
        <f t="shared" si="60"/>
        <v>10</v>
      </c>
      <c r="I226" s="11"/>
      <c r="J226" s="13">
        <f t="shared" si="64"/>
        <v>11000</v>
      </c>
      <c r="K226" s="13">
        <f t="shared" si="61"/>
        <v>13200</v>
      </c>
      <c r="L226" s="13">
        <v>12000</v>
      </c>
      <c r="M226" s="13"/>
      <c r="N226" s="14">
        <f t="shared" si="62"/>
        <v>1000</v>
      </c>
      <c r="O226" s="14">
        <f t="shared" si="63"/>
        <v>10000</v>
      </c>
    </row>
    <row r="227" spans="1:15" x14ac:dyDescent="0.15">
      <c r="A227" s="11" t="s">
        <v>254</v>
      </c>
      <c r="B227" s="11" t="s">
        <v>186</v>
      </c>
      <c r="C227" s="41" t="s">
        <v>18</v>
      </c>
      <c r="D227" s="46">
        <v>162000</v>
      </c>
      <c r="E227" s="78">
        <v>10</v>
      </c>
      <c r="F227" s="11"/>
      <c r="H227" s="15">
        <f t="shared" si="60"/>
        <v>10</v>
      </c>
      <c r="I227" s="11"/>
      <c r="J227" s="13">
        <f t="shared" si="64"/>
        <v>16200</v>
      </c>
      <c r="K227" s="13">
        <f t="shared" si="61"/>
        <v>19440</v>
      </c>
      <c r="L227" s="13"/>
      <c r="M227" s="13"/>
      <c r="N227" s="14">
        <f t="shared" si="62"/>
        <v>-16200</v>
      </c>
      <c r="O227" s="14">
        <f t="shared" si="63"/>
        <v>-162000</v>
      </c>
    </row>
    <row r="228" spans="1:15" x14ac:dyDescent="0.15">
      <c r="A228" s="11" t="s">
        <v>255</v>
      </c>
      <c r="B228" s="11" t="s">
        <v>186</v>
      </c>
      <c r="C228" s="41" t="s">
        <v>18</v>
      </c>
      <c r="D228" s="46">
        <v>100000</v>
      </c>
      <c r="E228" s="78">
        <v>10</v>
      </c>
      <c r="F228" s="11"/>
      <c r="H228" s="15">
        <f t="shared" si="60"/>
        <v>10</v>
      </c>
      <c r="I228" s="11"/>
      <c r="J228" s="13">
        <f t="shared" si="64"/>
        <v>10000</v>
      </c>
      <c r="K228" s="13">
        <f t="shared" si="61"/>
        <v>12000</v>
      </c>
      <c r="L228" s="13"/>
      <c r="M228" s="13"/>
      <c r="N228" s="14">
        <f t="shared" si="62"/>
        <v>-10000</v>
      </c>
      <c r="O228" s="14">
        <f t="shared" si="63"/>
        <v>-100000</v>
      </c>
    </row>
    <row r="229" spans="1:15" x14ac:dyDescent="0.15">
      <c r="A229" s="11" t="s">
        <v>221</v>
      </c>
      <c r="B229" s="11" t="s">
        <v>186</v>
      </c>
      <c r="C229" s="41" t="s">
        <v>18</v>
      </c>
      <c r="D229" s="46">
        <v>169000</v>
      </c>
      <c r="E229" s="78">
        <v>10</v>
      </c>
      <c r="F229" s="11"/>
      <c r="H229" s="15">
        <f t="shared" si="60"/>
        <v>10</v>
      </c>
      <c r="I229" s="11"/>
      <c r="J229" s="13">
        <f t="shared" si="64"/>
        <v>16900</v>
      </c>
      <c r="K229" s="13">
        <f t="shared" si="61"/>
        <v>20280</v>
      </c>
      <c r="L229" s="13">
        <v>18000</v>
      </c>
      <c r="M229" s="13"/>
      <c r="N229" s="14">
        <f t="shared" si="62"/>
        <v>1100</v>
      </c>
      <c r="O229" s="14">
        <f t="shared" si="63"/>
        <v>11000</v>
      </c>
    </row>
    <row r="230" spans="1:15" x14ac:dyDescent="0.15">
      <c r="A230" s="11" t="s">
        <v>256</v>
      </c>
      <c r="B230" s="11" t="s">
        <v>186</v>
      </c>
      <c r="C230" s="41" t="s">
        <v>18</v>
      </c>
      <c r="D230" s="46">
        <v>220000</v>
      </c>
      <c r="E230" s="78">
        <v>10</v>
      </c>
      <c r="F230" s="11"/>
      <c r="H230" s="15">
        <f t="shared" si="60"/>
        <v>10</v>
      </c>
      <c r="I230" s="11"/>
      <c r="J230" s="13">
        <f t="shared" si="64"/>
        <v>22000</v>
      </c>
      <c r="K230" s="13">
        <f t="shared" si="61"/>
        <v>26400</v>
      </c>
      <c r="L230" s="13"/>
      <c r="M230" s="13"/>
      <c r="N230" s="14">
        <f t="shared" si="62"/>
        <v>-22000</v>
      </c>
      <c r="O230" s="14">
        <f t="shared" si="63"/>
        <v>-220000</v>
      </c>
    </row>
    <row r="231" spans="1:15" x14ac:dyDescent="0.15">
      <c r="A231" s="11" t="s">
        <v>222</v>
      </c>
      <c r="B231" s="11" t="s">
        <v>186</v>
      </c>
      <c r="C231" s="41" t="s">
        <v>18</v>
      </c>
      <c r="D231" s="46">
        <v>240000</v>
      </c>
      <c r="E231" s="78">
        <v>10</v>
      </c>
      <c r="F231" s="11"/>
      <c r="H231" s="15">
        <f t="shared" si="60"/>
        <v>10</v>
      </c>
      <c r="I231" s="11"/>
      <c r="J231" s="13">
        <f t="shared" si="64"/>
        <v>24000</v>
      </c>
      <c r="K231" s="13">
        <f t="shared" si="61"/>
        <v>28800</v>
      </c>
      <c r="L231" s="13">
        <v>25000</v>
      </c>
      <c r="M231" s="13">
        <v>17000</v>
      </c>
      <c r="N231" s="14">
        <f t="shared" si="62"/>
        <v>1000</v>
      </c>
      <c r="O231" s="14">
        <f t="shared" si="63"/>
        <v>10000</v>
      </c>
    </row>
    <row r="232" spans="1:15" x14ac:dyDescent="0.15">
      <c r="A232" s="11" t="s">
        <v>257</v>
      </c>
      <c r="B232" s="11" t="s">
        <v>186</v>
      </c>
      <c r="C232" s="41" t="s">
        <v>18</v>
      </c>
      <c r="D232" s="46">
        <v>265000</v>
      </c>
      <c r="E232" s="78">
        <v>10</v>
      </c>
      <c r="F232" s="11"/>
      <c r="H232" s="15">
        <f t="shared" si="60"/>
        <v>10</v>
      </c>
      <c r="I232" s="11"/>
      <c r="J232" s="13">
        <f t="shared" si="64"/>
        <v>26500</v>
      </c>
      <c r="K232" s="13">
        <f t="shared" si="61"/>
        <v>31800</v>
      </c>
      <c r="L232" s="13"/>
      <c r="M232" s="13"/>
      <c r="N232" s="14">
        <f t="shared" si="62"/>
        <v>-26500</v>
      </c>
      <c r="O232" s="14">
        <f t="shared" si="63"/>
        <v>-265000</v>
      </c>
    </row>
    <row r="233" spans="1:15" x14ac:dyDescent="0.15">
      <c r="A233" s="11" t="s">
        <v>258</v>
      </c>
      <c r="B233" s="11" t="s">
        <v>186</v>
      </c>
      <c r="C233" s="41" t="s">
        <v>18</v>
      </c>
      <c r="D233" s="46">
        <v>280000</v>
      </c>
      <c r="E233" s="78">
        <v>10</v>
      </c>
      <c r="F233" s="11"/>
      <c r="H233" s="15">
        <f t="shared" si="60"/>
        <v>10</v>
      </c>
      <c r="I233" s="11"/>
      <c r="J233" s="13">
        <f t="shared" si="64"/>
        <v>28000</v>
      </c>
      <c r="K233" s="13">
        <f t="shared" si="61"/>
        <v>33600</v>
      </c>
      <c r="L233" s="13"/>
      <c r="M233" s="13"/>
      <c r="N233" s="14">
        <f t="shared" si="62"/>
        <v>-28000</v>
      </c>
      <c r="O233" s="14">
        <f t="shared" si="63"/>
        <v>-280000</v>
      </c>
    </row>
    <row r="234" spans="1:15" x14ac:dyDescent="0.15">
      <c r="A234" s="11" t="s">
        <v>223</v>
      </c>
      <c r="B234" s="11" t="s">
        <v>186</v>
      </c>
      <c r="C234" s="41" t="s">
        <v>18</v>
      </c>
      <c r="D234" s="46">
        <v>290000</v>
      </c>
      <c r="E234" s="78">
        <v>10</v>
      </c>
      <c r="F234" s="11"/>
      <c r="H234" s="15">
        <f t="shared" si="60"/>
        <v>10</v>
      </c>
      <c r="I234" s="11"/>
      <c r="J234" s="13">
        <f t="shared" si="64"/>
        <v>29000</v>
      </c>
      <c r="K234" s="13">
        <f t="shared" si="61"/>
        <v>34800</v>
      </c>
      <c r="L234" s="13"/>
      <c r="M234" s="13"/>
      <c r="N234" s="14">
        <f t="shared" si="62"/>
        <v>-29000</v>
      </c>
      <c r="O234" s="14">
        <f t="shared" si="63"/>
        <v>-290000</v>
      </c>
    </row>
    <row r="235" spans="1:15" x14ac:dyDescent="0.15">
      <c r="A235" s="11" t="s">
        <v>259</v>
      </c>
      <c r="B235" s="11" t="s">
        <v>186</v>
      </c>
      <c r="C235" s="41" t="s">
        <v>18</v>
      </c>
      <c r="D235" s="46">
        <v>376000</v>
      </c>
      <c r="E235" s="78">
        <v>10</v>
      </c>
      <c r="F235" s="11"/>
      <c r="H235" s="15">
        <f t="shared" si="60"/>
        <v>10</v>
      </c>
      <c r="I235" s="11"/>
      <c r="J235" s="13">
        <f t="shared" si="64"/>
        <v>37600</v>
      </c>
      <c r="K235" s="13">
        <f t="shared" si="61"/>
        <v>45120</v>
      </c>
      <c r="L235" s="13"/>
      <c r="M235" s="13"/>
      <c r="N235" s="14">
        <f t="shared" si="62"/>
        <v>-37600</v>
      </c>
      <c r="O235" s="14">
        <f t="shared" si="63"/>
        <v>-376000</v>
      </c>
    </row>
    <row r="236" spans="1:15" x14ac:dyDescent="0.15">
      <c r="A236" s="11"/>
      <c r="B236" s="11"/>
      <c r="C236" s="41"/>
      <c r="D236" s="46"/>
      <c r="E236" s="78"/>
      <c r="F236" s="11"/>
      <c r="H236" s="15"/>
      <c r="I236" s="11"/>
      <c r="J236" s="13"/>
      <c r="K236" s="13"/>
      <c r="L236" s="13"/>
      <c r="M236" s="13"/>
      <c r="N236" s="14"/>
      <c r="O236" s="14"/>
    </row>
    <row r="237" spans="1:15" x14ac:dyDescent="0.15">
      <c r="A237" s="24" t="s">
        <v>260</v>
      </c>
      <c r="B237" s="11"/>
      <c r="C237" s="41"/>
      <c r="D237" s="46"/>
      <c r="E237" s="78"/>
      <c r="F237" s="11"/>
      <c r="H237" s="15"/>
      <c r="I237" s="11"/>
      <c r="J237" s="13"/>
      <c r="K237" s="13"/>
      <c r="L237" s="13"/>
      <c r="M237" s="13"/>
      <c r="N237" s="14"/>
      <c r="O237" s="14"/>
    </row>
    <row r="238" spans="1:15" x14ac:dyDescent="0.15">
      <c r="A238" s="11" t="s">
        <v>227</v>
      </c>
      <c r="B238" s="11" t="s">
        <v>261</v>
      </c>
      <c r="C238" s="41" t="s">
        <v>18</v>
      </c>
      <c r="D238" s="46">
        <v>44000</v>
      </c>
      <c r="E238" s="78">
        <v>4</v>
      </c>
      <c r="F238" s="11"/>
      <c r="H238" s="15">
        <f t="shared" si="60"/>
        <v>4</v>
      </c>
      <c r="I238" s="11"/>
      <c r="J238" s="13">
        <f t="shared" si="64"/>
        <v>11000</v>
      </c>
      <c r="K238" s="13">
        <f t="shared" si="61"/>
        <v>13200</v>
      </c>
      <c r="L238" s="13">
        <v>13000</v>
      </c>
      <c r="M238" s="13"/>
      <c r="N238" s="14">
        <f t="shared" si="62"/>
        <v>2000</v>
      </c>
      <c r="O238" s="14">
        <f t="shared" si="63"/>
        <v>8000</v>
      </c>
    </row>
    <row r="239" spans="1:15" x14ac:dyDescent="0.15">
      <c r="A239" s="11" t="s">
        <v>262</v>
      </c>
      <c r="B239" s="11" t="s">
        <v>261</v>
      </c>
      <c r="C239" s="41" t="s">
        <v>18</v>
      </c>
      <c r="D239" s="46">
        <v>44000</v>
      </c>
      <c r="E239" s="78">
        <v>4</v>
      </c>
      <c r="F239" s="11"/>
      <c r="H239" s="15">
        <f t="shared" si="60"/>
        <v>4</v>
      </c>
      <c r="I239" s="11"/>
      <c r="J239" s="13">
        <f t="shared" si="64"/>
        <v>11000</v>
      </c>
      <c r="K239" s="13">
        <f t="shared" si="61"/>
        <v>13200</v>
      </c>
      <c r="L239" s="13">
        <v>13000</v>
      </c>
      <c r="M239" s="13"/>
      <c r="N239" s="14">
        <f t="shared" si="62"/>
        <v>2000</v>
      </c>
      <c r="O239" s="14">
        <f t="shared" si="63"/>
        <v>8000</v>
      </c>
    </row>
    <row r="240" spans="1:15" x14ac:dyDescent="0.15">
      <c r="A240" s="11" t="s">
        <v>216</v>
      </c>
      <c r="B240" s="11" t="s">
        <v>261</v>
      </c>
      <c r="C240" s="41" t="s">
        <v>18</v>
      </c>
      <c r="D240" s="46">
        <v>44000</v>
      </c>
      <c r="E240" s="78">
        <v>4</v>
      </c>
      <c r="F240" s="11"/>
      <c r="H240" s="15">
        <f t="shared" si="60"/>
        <v>4</v>
      </c>
      <c r="I240" s="11"/>
      <c r="J240" s="13">
        <f t="shared" si="64"/>
        <v>11000</v>
      </c>
      <c r="K240" s="13">
        <f t="shared" si="61"/>
        <v>13200</v>
      </c>
      <c r="L240" s="13">
        <v>13000</v>
      </c>
      <c r="M240" s="13"/>
      <c r="N240" s="14">
        <f t="shared" si="62"/>
        <v>2000</v>
      </c>
      <c r="O240" s="14">
        <f t="shared" si="63"/>
        <v>8000</v>
      </c>
    </row>
    <row r="241" spans="1:15" x14ac:dyDescent="0.15">
      <c r="A241" s="11" t="s">
        <v>263</v>
      </c>
      <c r="B241" s="11" t="s">
        <v>261</v>
      </c>
      <c r="C241" s="41" t="s">
        <v>18</v>
      </c>
      <c r="D241" s="46">
        <v>44000</v>
      </c>
      <c r="E241" s="78">
        <v>4</v>
      </c>
      <c r="F241" s="11"/>
      <c r="H241" s="15">
        <f t="shared" si="60"/>
        <v>4</v>
      </c>
      <c r="I241" s="11"/>
      <c r="J241" s="13">
        <f t="shared" si="64"/>
        <v>11000</v>
      </c>
      <c r="K241" s="13">
        <f t="shared" si="61"/>
        <v>13200</v>
      </c>
      <c r="L241" s="13">
        <v>13000</v>
      </c>
      <c r="M241" s="13"/>
      <c r="N241" s="14">
        <f t="shared" si="62"/>
        <v>2000</v>
      </c>
      <c r="O241" s="14">
        <f t="shared" si="63"/>
        <v>8000</v>
      </c>
    </row>
    <row r="242" spans="1:15" x14ac:dyDescent="0.15">
      <c r="A242" s="11" t="s">
        <v>264</v>
      </c>
      <c r="B242" s="11" t="s">
        <v>261</v>
      </c>
      <c r="C242" s="41" t="s">
        <v>18</v>
      </c>
      <c r="D242" s="46">
        <v>44000</v>
      </c>
      <c r="E242" s="78">
        <v>4</v>
      </c>
      <c r="F242" s="11"/>
      <c r="H242" s="15">
        <f t="shared" si="60"/>
        <v>4</v>
      </c>
      <c r="I242" s="11"/>
      <c r="J242" s="13">
        <f t="shared" si="64"/>
        <v>11000</v>
      </c>
      <c r="K242" s="13">
        <f t="shared" si="61"/>
        <v>13200</v>
      </c>
      <c r="L242" s="13">
        <v>13000</v>
      </c>
      <c r="M242" s="13"/>
      <c r="N242" s="14">
        <f t="shared" si="62"/>
        <v>2000</v>
      </c>
      <c r="O242" s="14">
        <f t="shared" si="63"/>
        <v>8000</v>
      </c>
    </row>
    <row r="243" spans="1:15" x14ac:dyDescent="0.15">
      <c r="A243" s="11" t="s">
        <v>230</v>
      </c>
      <c r="B243" s="11" t="s">
        <v>261</v>
      </c>
      <c r="C243" s="41" t="s">
        <v>18</v>
      </c>
      <c r="D243" s="46">
        <v>44000</v>
      </c>
      <c r="E243" s="78">
        <v>4</v>
      </c>
      <c r="F243" s="11"/>
      <c r="H243" s="15">
        <f t="shared" si="60"/>
        <v>4</v>
      </c>
      <c r="I243" s="11"/>
      <c r="J243" s="13">
        <f t="shared" si="64"/>
        <v>11000</v>
      </c>
      <c r="K243" s="13">
        <f t="shared" si="61"/>
        <v>13200</v>
      </c>
      <c r="L243" s="13">
        <v>13000</v>
      </c>
      <c r="M243" s="13"/>
      <c r="N243" s="14">
        <f t="shared" si="62"/>
        <v>2000</v>
      </c>
      <c r="O243" s="14">
        <f t="shared" si="63"/>
        <v>8000</v>
      </c>
    </row>
    <row r="244" spans="1:15" x14ac:dyDescent="0.15">
      <c r="A244" s="11" t="s">
        <v>265</v>
      </c>
      <c r="B244" s="11" t="s">
        <v>261</v>
      </c>
      <c r="C244" s="41" t="s">
        <v>18</v>
      </c>
      <c r="D244" s="46">
        <v>44000</v>
      </c>
      <c r="E244" s="78">
        <v>4</v>
      </c>
      <c r="F244" s="11"/>
      <c r="H244" s="15">
        <f t="shared" si="60"/>
        <v>4</v>
      </c>
      <c r="I244" s="11"/>
      <c r="J244" s="13">
        <f t="shared" si="64"/>
        <v>11000</v>
      </c>
      <c r="K244" s="13">
        <f t="shared" si="61"/>
        <v>13200</v>
      </c>
      <c r="L244" s="13">
        <v>13000</v>
      </c>
      <c r="M244" s="13"/>
      <c r="N244" s="14">
        <f t="shared" si="62"/>
        <v>2000</v>
      </c>
      <c r="O244" s="14">
        <f t="shared" si="63"/>
        <v>8000</v>
      </c>
    </row>
    <row r="245" spans="1:15" x14ac:dyDescent="0.15">
      <c r="A245" s="11" t="s">
        <v>266</v>
      </c>
      <c r="B245" s="11" t="s">
        <v>261</v>
      </c>
      <c r="C245" s="41" t="s">
        <v>18</v>
      </c>
      <c r="D245" s="46">
        <v>44000</v>
      </c>
      <c r="E245" s="78">
        <v>4</v>
      </c>
      <c r="F245" s="11"/>
      <c r="H245" s="15">
        <f t="shared" ref="H245:H281" si="65">E245</f>
        <v>4</v>
      </c>
      <c r="I245" s="11"/>
      <c r="J245" s="13">
        <f t="shared" ref="J245:J281" si="66">D245/H245</f>
        <v>11000</v>
      </c>
      <c r="K245" s="13">
        <f t="shared" ref="K245:K281" si="67">J245*$K$2</f>
        <v>13200</v>
      </c>
      <c r="L245" s="13">
        <v>13000</v>
      </c>
      <c r="M245" s="13"/>
      <c r="N245" s="14">
        <f t="shared" ref="N245:N281" si="68">L245-J245</f>
        <v>2000</v>
      </c>
      <c r="O245" s="14">
        <f t="shared" ref="O245:O281" si="69">H245*N245</f>
        <v>8000</v>
      </c>
    </row>
    <row r="246" spans="1:15" x14ac:dyDescent="0.15">
      <c r="A246" s="11" t="s">
        <v>267</v>
      </c>
      <c r="B246" s="11" t="s">
        <v>261</v>
      </c>
      <c r="C246" s="41" t="s">
        <v>18</v>
      </c>
      <c r="D246" s="46">
        <v>44000</v>
      </c>
      <c r="E246" s="78">
        <v>4</v>
      </c>
      <c r="F246" s="11"/>
      <c r="H246" s="15">
        <f t="shared" si="65"/>
        <v>4</v>
      </c>
      <c r="I246" s="11"/>
      <c r="J246" s="13">
        <f t="shared" si="66"/>
        <v>11000</v>
      </c>
      <c r="K246" s="13">
        <f t="shared" si="67"/>
        <v>13200</v>
      </c>
      <c r="L246" s="13">
        <v>13000</v>
      </c>
      <c r="M246" s="13"/>
      <c r="N246" s="14">
        <f t="shared" si="68"/>
        <v>2000</v>
      </c>
      <c r="O246" s="14">
        <f t="shared" si="69"/>
        <v>8000</v>
      </c>
    </row>
    <row r="247" spans="1:15" x14ac:dyDescent="0.15">
      <c r="A247" s="11" t="s">
        <v>268</v>
      </c>
      <c r="B247" s="11" t="s">
        <v>261</v>
      </c>
      <c r="C247" s="41" t="s">
        <v>18</v>
      </c>
      <c r="D247" s="46">
        <v>44000</v>
      </c>
      <c r="E247" s="78">
        <v>4</v>
      </c>
      <c r="F247" s="11"/>
      <c r="H247" s="15">
        <f t="shared" si="65"/>
        <v>4</v>
      </c>
      <c r="I247" s="11"/>
      <c r="J247" s="13">
        <f t="shared" si="66"/>
        <v>11000</v>
      </c>
      <c r="K247" s="13">
        <f t="shared" si="67"/>
        <v>13200</v>
      </c>
      <c r="L247" s="13">
        <v>13000</v>
      </c>
      <c r="M247" s="13"/>
      <c r="N247" s="14">
        <f t="shared" si="68"/>
        <v>2000</v>
      </c>
      <c r="O247" s="14">
        <f t="shared" si="69"/>
        <v>8000</v>
      </c>
    </row>
    <row r="248" spans="1:15" x14ac:dyDescent="0.15">
      <c r="A248" s="11" t="s">
        <v>232</v>
      </c>
      <c r="B248" s="11" t="s">
        <v>261</v>
      </c>
      <c r="C248" s="41" t="s">
        <v>18</v>
      </c>
      <c r="D248" s="46">
        <v>44000</v>
      </c>
      <c r="E248" s="78">
        <v>4</v>
      </c>
      <c r="F248" s="11"/>
      <c r="H248" s="15">
        <f t="shared" si="65"/>
        <v>4</v>
      </c>
      <c r="I248" s="11"/>
      <c r="J248" s="13">
        <f t="shared" si="66"/>
        <v>11000</v>
      </c>
      <c r="K248" s="13">
        <f t="shared" si="67"/>
        <v>13200</v>
      </c>
      <c r="L248" s="13">
        <v>13000</v>
      </c>
      <c r="M248" s="13"/>
      <c r="N248" s="14">
        <f t="shared" si="68"/>
        <v>2000</v>
      </c>
      <c r="O248" s="14">
        <f t="shared" si="69"/>
        <v>8000</v>
      </c>
    </row>
    <row r="249" spans="1:15" x14ac:dyDescent="0.15">
      <c r="A249" s="11" t="s">
        <v>234</v>
      </c>
      <c r="B249" s="11" t="s">
        <v>261</v>
      </c>
      <c r="C249" s="41" t="s">
        <v>18</v>
      </c>
      <c r="D249" s="46">
        <v>44000</v>
      </c>
      <c r="E249" s="78">
        <v>4</v>
      </c>
      <c r="F249" s="11"/>
      <c r="H249" s="15">
        <f t="shared" si="65"/>
        <v>4</v>
      </c>
      <c r="I249" s="11"/>
      <c r="J249" s="13">
        <f t="shared" si="66"/>
        <v>11000</v>
      </c>
      <c r="K249" s="13">
        <f t="shared" si="67"/>
        <v>13200</v>
      </c>
      <c r="L249" s="13">
        <v>13000</v>
      </c>
      <c r="M249" s="13"/>
      <c r="N249" s="14">
        <f t="shared" si="68"/>
        <v>2000</v>
      </c>
      <c r="O249" s="14">
        <f t="shared" si="69"/>
        <v>8000</v>
      </c>
    </row>
    <row r="250" spans="1:15" x14ac:dyDescent="0.15">
      <c r="A250" s="11" t="s">
        <v>269</v>
      </c>
      <c r="B250" s="11" t="s">
        <v>261</v>
      </c>
      <c r="C250" s="41" t="s">
        <v>18</v>
      </c>
      <c r="D250" s="46">
        <v>44000</v>
      </c>
      <c r="E250" s="78">
        <v>4</v>
      </c>
      <c r="F250" s="11"/>
      <c r="H250" s="15">
        <f t="shared" si="65"/>
        <v>4</v>
      </c>
      <c r="I250" s="11"/>
      <c r="J250" s="13">
        <f t="shared" si="66"/>
        <v>11000</v>
      </c>
      <c r="K250" s="13">
        <f t="shared" si="67"/>
        <v>13200</v>
      </c>
      <c r="L250" s="13">
        <v>13000</v>
      </c>
      <c r="M250" s="13"/>
      <c r="N250" s="14">
        <f t="shared" si="68"/>
        <v>2000</v>
      </c>
      <c r="O250" s="14">
        <f t="shared" si="69"/>
        <v>8000</v>
      </c>
    </row>
    <row r="251" spans="1:15" x14ac:dyDescent="0.15">
      <c r="A251" s="11" t="s">
        <v>235</v>
      </c>
      <c r="B251" s="11" t="s">
        <v>261</v>
      </c>
      <c r="C251" s="41" t="s">
        <v>18</v>
      </c>
      <c r="D251" s="46">
        <v>44000</v>
      </c>
      <c r="E251" s="78">
        <v>4</v>
      </c>
      <c r="F251" s="11"/>
      <c r="H251" s="15">
        <f t="shared" si="65"/>
        <v>4</v>
      </c>
      <c r="I251" s="11"/>
      <c r="J251" s="13">
        <f t="shared" si="66"/>
        <v>11000</v>
      </c>
      <c r="K251" s="13">
        <f t="shared" si="67"/>
        <v>13200</v>
      </c>
      <c r="L251" s="13">
        <v>13000</v>
      </c>
      <c r="M251" s="13"/>
      <c r="N251" s="14">
        <f t="shared" si="68"/>
        <v>2000</v>
      </c>
      <c r="O251" s="14">
        <f t="shared" si="69"/>
        <v>8000</v>
      </c>
    </row>
    <row r="252" spans="1:15" x14ac:dyDescent="0.15">
      <c r="A252" s="11" t="s">
        <v>270</v>
      </c>
      <c r="B252" s="11" t="s">
        <v>261</v>
      </c>
      <c r="C252" s="41" t="s">
        <v>18</v>
      </c>
      <c r="D252" s="46">
        <v>44000</v>
      </c>
      <c r="E252" s="78">
        <v>4</v>
      </c>
      <c r="F252" s="11"/>
      <c r="H252" s="15">
        <f t="shared" si="65"/>
        <v>4</v>
      </c>
      <c r="I252" s="11"/>
      <c r="J252" s="13">
        <f t="shared" si="66"/>
        <v>11000</v>
      </c>
      <c r="K252" s="13">
        <f t="shared" si="67"/>
        <v>13200</v>
      </c>
      <c r="L252" s="13">
        <v>13000</v>
      </c>
      <c r="M252" s="13"/>
      <c r="N252" s="14">
        <f t="shared" si="68"/>
        <v>2000</v>
      </c>
      <c r="O252" s="14">
        <f t="shared" si="69"/>
        <v>8000</v>
      </c>
    </row>
    <row r="253" spans="1:15" x14ac:dyDescent="0.15">
      <c r="A253" s="11" t="s">
        <v>271</v>
      </c>
      <c r="B253" s="11" t="s">
        <v>261</v>
      </c>
      <c r="C253" s="41" t="s">
        <v>18</v>
      </c>
      <c r="D253" s="46">
        <v>44000</v>
      </c>
      <c r="E253" s="78">
        <v>4</v>
      </c>
      <c r="F253" s="11"/>
      <c r="H253" s="15">
        <f t="shared" si="65"/>
        <v>4</v>
      </c>
      <c r="I253" s="11"/>
      <c r="J253" s="13">
        <f t="shared" si="66"/>
        <v>11000</v>
      </c>
      <c r="K253" s="13">
        <f t="shared" si="67"/>
        <v>13200</v>
      </c>
      <c r="L253" s="13">
        <v>13000</v>
      </c>
      <c r="M253" s="13"/>
      <c r="N253" s="14">
        <f t="shared" si="68"/>
        <v>2000</v>
      </c>
      <c r="O253" s="14">
        <f t="shared" si="69"/>
        <v>8000</v>
      </c>
    </row>
    <row r="254" spans="1:15" x14ac:dyDescent="0.15">
      <c r="A254" s="11" t="s">
        <v>272</v>
      </c>
      <c r="B254" s="11" t="s">
        <v>261</v>
      </c>
      <c r="C254" s="41" t="s">
        <v>18</v>
      </c>
      <c r="D254" s="46">
        <v>44000</v>
      </c>
      <c r="E254" s="78">
        <v>4</v>
      </c>
      <c r="F254" s="11"/>
      <c r="H254" s="15">
        <f t="shared" si="65"/>
        <v>4</v>
      </c>
      <c r="I254" s="11"/>
      <c r="J254" s="13">
        <f t="shared" si="66"/>
        <v>11000</v>
      </c>
      <c r="K254" s="13">
        <f t="shared" si="67"/>
        <v>13200</v>
      </c>
      <c r="L254" s="13">
        <v>13000</v>
      </c>
      <c r="M254" s="13"/>
      <c r="N254" s="14">
        <f t="shared" si="68"/>
        <v>2000</v>
      </c>
      <c r="O254" s="14">
        <f t="shared" si="69"/>
        <v>8000</v>
      </c>
    </row>
    <row r="255" spans="1:15" x14ac:dyDescent="0.15">
      <c r="A255" s="11" t="s">
        <v>218</v>
      </c>
      <c r="B255" s="11" t="s">
        <v>261</v>
      </c>
      <c r="C255" s="41" t="s">
        <v>18</v>
      </c>
      <c r="D255" s="46">
        <v>44000</v>
      </c>
      <c r="E255" s="78">
        <v>4</v>
      </c>
      <c r="F255" s="11"/>
      <c r="H255" s="15">
        <f t="shared" si="65"/>
        <v>4</v>
      </c>
      <c r="I255" s="11"/>
      <c r="J255" s="13">
        <f t="shared" si="66"/>
        <v>11000</v>
      </c>
      <c r="K255" s="13">
        <f t="shared" si="67"/>
        <v>13200</v>
      </c>
      <c r="L255" s="13">
        <v>13000</v>
      </c>
      <c r="M255" s="13"/>
      <c r="N255" s="14">
        <f t="shared" si="68"/>
        <v>2000</v>
      </c>
      <c r="O255" s="14">
        <f t="shared" si="69"/>
        <v>8000</v>
      </c>
    </row>
    <row r="256" spans="1:15" x14ac:dyDescent="0.15">
      <c r="A256" s="11" t="s">
        <v>273</v>
      </c>
      <c r="B256" s="11" t="s">
        <v>261</v>
      </c>
      <c r="C256" s="41" t="s">
        <v>18</v>
      </c>
      <c r="D256" s="46">
        <v>44000</v>
      </c>
      <c r="E256" s="78">
        <v>4</v>
      </c>
      <c r="F256" s="11"/>
      <c r="H256" s="15">
        <f t="shared" si="65"/>
        <v>4</v>
      </c>
      <c r="I256" s="11"/>
      <c r="J256" s="13">
        <f t="shared" si="66"/>
        <v>11000</v>
      </c>
      <c r="K256" s="13">
        <f t="shared" si="67"/>
        <v>13200</v>
      </c>
      <c r="L256" s="13">
        <v>13000</v>
      </c>
      <c r="M256" s="13"/>
      <c r="N256" s="14">
        <f t="shared" si="68"/>
        <v>2000</v>
      </c>
      <c r="O256" s="14">
        <f t="shared" si="69"/>
        <v>8000</v>
      </c>
    </row>
    <row r="257" spans="1:15" x14ac:dyDescent="0.15">
      <c r="A257" s="11" t="s">
        <v>274</v>
      </c>
      <c r="B257" s="11" t="s">
        <v>261</v>
      </c>
      <c r="C257" s="41" t="s">
        <v>18</v>
      </c>
      <c r="D257" s="46">
        <v>44000</v>
      </c>
      <c r="E257" s="78">
        <v>4</v>
      </c>
      <c r="F257" s="11"/>
      <c r="H257" s="15">
        <f t="shared" si="65"/>
        <v>4</v>
      </c>
      <c r="I257" s="11"/>
      <c r="J257" s="13">
        <f t="shared" si="66"/>
        <v>11000</v>
      </c>
      <c r="K257" s="13">
        <f t="shared" si="67"/>
        <v>13200</v>
      </c>
      <c r="L257" s="13">
        <v>13000</v>
      </c>
      <c r="M257" s="13"/>
      <c r="N257" s="14">
        <f t="shared" si="68"/>
        <v>2000</v>
      </c>
      <c r="O257" s="14">
        <f t="shared" si="69"/>
        <v>8000</v>
      </c>
    </row>
    <row r="258" spans="1:15" x14ac:dyDescent="0.15">
      <c r="A258" s="11" t="s">
        <v>240</v>
      </c>
      <c r="B258" s="11" t="s">
        <v>261</v>
      </c>
      <c r="C258" s="41" t="s">
        <v>18</v>
      </c>
      <c r="D258" s="46">
        <v>44000</v>
      </c>
      <c r="E258" s="78">
        <v>4</v>
      </c>
      <c r="F258" s="11"/>
      <c r="H258" s="15">
        <f t="shared" si="65"/>
        <v>4</v>
      </c>
      <c r="I258" s="11"/>
      <c r="J258" s="13">
        <f t="shared" si="66"/>
        <v>11000</v>
      </c>
      <c r="K258" s="13">
        <f t="shared" si="67"/>
        <v>13200</v>
      </c>
      <c r="L258" s="13">
        <v>13000</v>
      </c>
      <c r="M258" s="13"/>
      <c r="N258" s="14">
        <f t="shared" si="68"/>
        <v>2000</v>
      </c>
      <c r="O258" s="14">
        <f t="shared" si="69"/>
        <v>8000</v>
      </c>
    </row>
    <row r="259" spans="1:15" x14ac:dyDescent="0.15">
      <c r="A259" s="11" t="s">
        <v>275</v>
      </c>
      <c r="B259" s="11" t="s">
        <v>261</v>
      </c>
      <c r="C259" s="41" t="s">
        <v>18</v>
      </c>
      <c r="D259" s="46">
        <v>44000</v>
      </c>
      <c r="E259" s="78">
        <v>4</v>
      </c>
      <c r="F259" s="11"/>
      <c r="H259" s="15">
        <f t="shared" si="65"/>
        <v>4</v>
      </c>
      <c r="I259" s="11"/>
      <c r="J259" s="13">
        <f t="shared" si="66"/>
        <v>11000</v>
      </c>
      <c r="K259" s="13">
        <f t="shared" si="67"/>
        <v>13200</v>
      </c>
      <c r="L259" s="13">
        <v>13000</v>
      </c>
      <c r="M259" s="13"/>
      <c r="N259" s="14">
        <f t="shared" si="68"/>
        <v>2000</v>
      </c>
      <c r="O259" s="14">
        <f t="shared" si="69"/>
        <v>8000</v>
      </c>
    </row>
    <row r="260" spans="1:15" x14ac:dyDescent="0.15">
      <c r="A260" s="11" t="s">
        <v>243</v>
      </c>
      <c r="B260" s="11" t="s">
        <v>261</v>
      </c>
      <c r="C260" s="41" t="s">
        <v>18</v>
      </c>
      <c r="D260" s="46">
        <v>44000</v>
      </c>
      <c r="E260" s="78">
        <v>4</v>
      </c>
      <c r="F260" s="11"/>
      <c r="H260" s="15">
        <f t="shared" si="65"/>
        <v>4</v>
      </c>
      <c r="I260" s="11"/>
      <c r="J260" s="13">
        <f t="shared" si="66"/>
        <v>11000</v>
      </c>
      <c r="K260" s="13">
        <f t="shared" si="67"/>
        <v>13200</v>
      </c>
      <c r="L260" s="13">
        <v>13000</v>
      </c>
      <c r="M260" s="13"/>
      <c r="N260" s="14">
        <f t="shared" si="68"/>
        <v>2000</v>
      </c>
      <c r="O260" s="14">
        <f t="shared" si="69"/>
        <v>8000</v>
      </c>
    </row>
    <row r="261" spans="1:15" x14ac:dyDescent="0.15">
      <c r="A261" s="11" t="s">
        <v>276</v>
      </c>
      <c r="B261" s="11" t="s">
        <v>261</v>
      </c>
      <c r="C261" s="41" t="s">
        <v>18</v>
      </c>
      <c r="D261" s="46">
        <v>44000</v>
      </c>
      <c r="E261" s="78">
        <v>4</v>
      </c>
      <c r="F261" s="11"/>
      <c r="H261" s="15">
        <f t="shared" si="65"/>
        <v>4</v>
      </c>
      <c r="I261" s="11"/>
      <c r="J261" s="13">
        <f t="shared" si="66"/>
        <v>11000</v>
      </c>
      <c r="K261" s="13">
        <f t="shared" si="67"/>
        <v>13200</v>
      </c>
      <c r="L261" s="13">
        <v>13000</v>
      </c>
      <c r="M261" s="13"/>
      <c r="N261" s="14">
        <f t="shared" si="68"/>
        <v>2000</v>
      </c>
      <c r="O261" s="14">
        <f t="shared" si="69"/>
        <v>8000</v>
      </c>
    </row>
    <row r="262" spans="1:15" x14ac:dyDescent="0.15">
      <c r="A262" s="11" t="s">
        <v>277</v>
      </c>
      <c r="B262" s="11" t="s">
        <v>261</v>
      </c>
      <c r="C262" s="41" t="s">
        <v>18</v>
      </c>
      <c r="D262" s="46">
        <v>44000</v>
      </c>
      <c r="E262" s="78">
        <v>4</v>
      </c>
      <c r="F262" s="11"/>
      <c r="H262" s="15">
        <f t="shared" si="65"/>
        <v>4</v>
      </c>
      <c r="I262" s="11"/>
      <c r="J262" s="13">
        <f t="shared" si="66"/>
        <v>11000</v>
      </c>
      <c r="K262" s="13">
        <f t="shared" si="67"/>
        <v>13200</v>
      </c>
      <c r="L262" s="13">
        <v>13000</v>
      </c>
      <c r="M262" s="13"/>
      <c r="N262" s="14">
        <f t="shared" si="68"/>
        <v>2000</v>
      </c>
      <c r="O262" s="14">
        <f t="shared" si="69"/>
        <v>8000</v>
      </c>
    </row>
    <row r="263" spans="1:15" x14ac:dyDescent="0.15">
      <c r="A263" s="11" t="s">
        <v>278</v>
      </c>
      <c r="B263" s="11" t="s">
        <v>261</v>
      </c>
      <c r="C263" s="41" t="s">
        <v>18</v>
      </c>
      <c r="D263" s="46">
        <v>44000</v>
      </c>
      <c r="E263" s="78">
        <v>4</v>
      </c>
      <c r="F263" s="11"/>
      <c r="H263" s="15">
        <f t="shared" si="65"/>
        <v>4</v>
      </c>
      <c r="I263" s="11"/>
      <c r="J263" s="13">
        <f t="shared" si="66"/>
        <v>11000</v>
      </c>
      <c r="K263" s="13">
        <f t="shared" si="67"/>
        <v>13200</v>
      </c>
      <c r="L263" s="13">
        <v>13000</v>
      </c>
      <c r="M263" s="13"/>
      <c r="N263" s="14">
        <f t="shared" si="68"/>
        <v>2000</v>
      </c>
      <c r="O263" s="14">
        <f t="shared" si="69"/>
        <v>8000</v>
      </c>
    </row>
    <row r="264" spans="1:15" x14ac:dyDescent="0.15">
      <c r="A264" s="11" t="s">
        <v>279</v>
      </c>
      <c r="B264" s="11" t="s">
        <v>261</v>
      </c>
      <c r="C264" s="41" t="s">
        <v>18</v>
      </c>
      <c r="D264" s="46">
        <v>44000</v>
      </c>
      <c r="E264" s="78">
        <v>4</v>
      </c>
      <c r="F264" s="11"/>
      <c r="H264" s="15">
        <f t="shared" si="65"/>
        <v>4</v>
      </c>
      <c r="I264" s="11"/>
      <c r="J264" s="13">
        <f t="shared" si="66"/>
        <v>11000</v>
      </c>
      <c r="K264" s="13">
        <f t="shared" si="67"/>
        <v>13200</v>
      </c>
      <c r="L264" s="13">
        <v>13000</v>
      </c>
      <c r="M264" s="13"/>
      <c r="N264" s="14">
        <f t="shared" si="68"/>
        <v>2000</v>
      </c>
      <c r="O264" s="14">
        <f t="shared" si="69"/>
        <v>8000</v>
      </c>
    </row>
    <row r="265" spans="1:15" x14ac:dyDescent="0.15">
      <c r="A265" s="11" t="s">
        <v>280</v>
      </c>
      <c r="B265" s="11" t="s">
        <v>261</v>
      </c>
      <c r="C265" s="41" t="s">
        <v>18</v>
      </c>
      <c r="D265" s="46">
        <v>44000</v>
      </c>
      <c r="E265" s="78">
        <v>4</v>
      </c>
      <c r="F265" s="11"/>
      <c r="H265" s="15">
        <f t="shared" si="65"/>
        <v>4</v>
      </c>
      <c r="I265" s="11"/>
      <c r="J265" s="13">
        <f t="shared" si="66"/>
        <v>11000</v>
      </c>
      <c r="K265" s="13">
        <f t="shared" si="67"/>
        <v>13200</v>
      </c>
      <c r="L265" s="13">
        <v>13000</v>
      </c>
      <c r="M265" s="13"/>
      <c r="N265" s="14">
        <f t="shared" si="68"/>
        <v>2000</v>
      </c>
      <c r="O265" s="14">
        <f t="shared" si="69"/>
        <v>8000</v>
      </c>
    </row>
    <row r="266" spans="1:15" x14ac:dyDescent="0.15">
      <c r="A266" s="11" t="s">
        <v>281</v>
      </c>
      <c r="B266" s="11" t="s">
        <v>261</v>
      </c>
      <c r="C266" s="41" t="s">
        <v>18</v>
      </c>
      <c r="D266" s="46">
        <v>44000</v>
      </c>
      <c r="E266" s="78">
        <v>4</v>
      </c>
      <c r="F266" s="11"/>
      <c r="H266" s="15">
        <f t="shared" si="65"/>
        <v>4</v>
      </c>
      <c r="I266" s="11"/>
      <c r="J266" s="13">
        <f t="shared" si="66"/>
        <v>11000</v>
      </c>
      <c r="K266" s="13">
        <f t="shared" si="67"/>
        <v>13200</v>
      </c>
      <c r="L266" s="13">
        <v>13000</v>
      </c>
      <c r="M266" s="13"/>
      <c r="N266" s="14">
        <f t="shared" si="68"/>
        <v>2000</v>
      </c>
      <c r="O266" s="14">
        <f t="shared" si="69"/>
        <v>8000</v>
      </c>
    </row>
    <row r="267" spans="1:15" x14ac:dyDescent="0.15">
      <c r="A267" s="11" t="s">
        <v>282</v>
      </c>
      <c r="B267" s="11" t="s">
        <v>261</v>
      </c>
      <c r="C267" s="41" t="s">
        <v>18</v>
      </c>
      <c r="D267" s="46">
        <v>44000</v>
      </c>
      <c r="E267" s="78">
        <v>4</v>
      </c>
      <c r="F267" s="11"/>
      <c r="H267" s="15">
        <f t="shared" si="65"/>
        <v>4</v>
      </c>
      <c r="I267" s="11"/>
      <c r="J267" s="13">
        <f t="shared" si="66"/>
        <v>11000</v>
      </c>
      <c r="K267" s="13">
        <f t="shared" si="67"/>
        <v>13200</v>
      </c>
      <c r="L267" s="13">
        <v>13000</v>
      </c>
      <c r="M267" s="13"/>
      <c r="N267" s="14">
        <f t="shared" si="68"/>
        <v>2000</v>
      </c>
      <c r="O267" s="14">
        <f t="shared" si="69"/>
        <v>8000</v>
      </c>
    </row>
    <row r="268" spans="1:15" x14ac:dyDescent="0.15">
      <c r="A268" s="11" t="s">
        <v>252</v>
      </c>
      <c r="B268" s="11" t="s">
        <v>261</v>
      </c>
      <c r="C268" s="41" t="s">
        <v>18</v>
      </c>
      <c r="D268" s="46">
        <v>44000</v>
      </c>
      <c r="E268" s="78">
        <v>4</v>
      </c>
      <c r="F268" s="11"/>
      <c r="H268" s="15">
        <f t="shared" si="65"/>
        <v>4</v>
      </c>
      <c r="I268" s="11"/>
      <c r="J268" s="13">
        <f t="shared" si="66"/>
        <v>11000</v>
      </c>
      <c r="K268" s="13">
        <f t="shared" si="67"/>
        <v>13200</v>
      </c>
      <c r="L268" s="13">
        <v>13000</v>
      </c>
      <c r="M268" s="13"/>
      <c r="N268" s="14">
        <f t="shared" si="68"/>
        <v>2000</v>
      </c>
      <c r="O268" s="14">
        <f t="shared" si="69"/>
        <v>8000</v>
      </c>
    </row>
    <row r="269" spans="1:15" x14ac:dyDescent="0.15">
      <c r="A269" s="11" t="s">
        <v>220</v>
      </c>
      <c r="B269" s="11" t="s">
        <v>261</v>
      </c>
      <c r="C269" s="41" t="s">
        <v>18</v>
      </c>
      <c r="D269" s="46">
        <v>44000</v>
      </c>
      <c r="E269" s="78">
        <v>4</v>
      </c>
      <c r="F269" s="11"/>
      <c r="H269" s="15">
        <f t="shared" si="65"/>
        <v>4</v>
      </c>
      <c r="I269" s="11"/>
      <c r="J269" s="13">
        <f t="shared" si="66"/>
        <v>11000</v>
      </c>
      <c r="K269" s="13">
        <f t="shared" si="67"/>
        <v>13200</v>
      </c>
      <c r="L269" s="13">
        <v>13000</v>
      </c>
      <c r="M269" s="13"/>
      <c r="N269" s="14">
        <f t="shared" si="68"/>
        <v>2000</v>
      </c>
      <c r="O269" s="14">
        <f t="shared" si="69"/>
        <v>8000</v>
      </c>
    </row>
    <row r="270" spans="1:15" x14ac:dyDescent="0.15">
      <c r="A270" s="11" t="s">
        <v>283</v>
      </c>
      <c r="B270" s="11" t="s">
        <v>261</v>
      </c>
      <c r="C270" s="41" t="s">
        <v>18</v>
      </c>
      <c r="D270" s="46">
        <v>44000</v>
      </c>
      <c r="E270" s="78">
        <v>4</v>
      </c>
      <c r="F270" s="11"/>
      <c r="H270" s="15">
        <f t="shared" si="65"/>
        <v>4</v>
      </c>
      <c r="I270" s="11"/>
      <c r="J270" s="13">
        <f t="shared" si="66"/>
        <v>11000</v>
      </c>
      <c r="K270" s="13">
        <f t="shared" si="67"/>
        <v>13200</v>
      </c>
      <c r="L270" s="13">
        <v>13000</v>
      </c>
      <c r="M270" s="13"/>
      <c r="N270" s="14">
        <f t="shared" si="68"/>
        <v>2000</v>
      </c>
      <c r="O270" s="14">
        <f t="shared" si="69"/>
        <v>8000</v>
      </c>
    </row>
    <row r="271" spans="1:15" x14ac:dyDescent="0.15">
      <c r="A271" s="11" t="s">
        <v>284</v>
      </c>
      <c r="B271" s="11" t="s">
        <v>261</v>
      </c>
      <c r="C271" s="41" t="s">
        <v>18</v>
      </c>
      <c r="D271" s="46">
        <v>44000</v>
      </c>
      <c r="E271" s="78">
        <v>4</v>
      </c>
      <c r="F271" s="11"/>
      <c r="H271" s="15">
        <f t="shared" si="65"/>
        <v>4</v>
      </c>
      <c r="I271" s="11"/>
      <c r="J271" s="13">
        <f t="shared" si="66"/>
        <v>11000</v>
      </c>
      <c r="K271" s="13">
        <f t="shared" si="67"/>
        <v>13200</v>
      </c>
      <c r="L271" s="13">
        <v>13000</v>
      </c>
      <c r="M271" s="13"/>
      <c r="N271" s="14">
        <f t="shared" si="68"/>
        <v>2000</v>
      </c>
      <c r="O271" s="14">
        <f t="shared" si="69"/>
        <v>8000</v>
      </c>
    </row>
    <row r="272" spans="1:15" x14ac:dyDescent="0.15">
      <c r="A272" s="11" t="s">
        <v>285</v>
      </c>
      <c r="B272" s="11" t="s">
        <v>261</v>
      </c>
      <c r="C272" s="41" t="s">
        <v>18</v>
      </c>
      <c r="D272" s="46">
        <v>44000</v>
      </c>
      <c r="E272" s="78">
        <v>4</v>
      </c>
      <c r="F272" s="11"/>
      <c r="H272" s="15">
        <f t="shared" si="65"/>
        <v>4</v>
      </c>
      <c r="I272" s="11"/>
      <c r="J272" s="13">
        <f t="shared" si="66"/>
        <v>11000</v>
      </c>
      <c r="K272" s="13">
        <f t="shared" si="67"/>
        <v>13200</v>
      </c>
      <c r="L272" s="13">
        <v>13000</v>
      </c>
      <c r="M272" s="13"/>
      <c r="N272" s="14">
        <f t="shared" si="68"/>
        <v>2000</v>
      </c>
      <c r="O272" s="14">
        <f t="shared" si="69"/>
        <v>8000</v>
      </c>
    </row>
    <row r="273" spans="1:15" x14ac:dyDescent="0.15">
      <c r="A273" s="11" t="s">
        <v>286</v>
      </c>
      <c r="B273" s="11" t="s">
        <v>261</v>
      </c>
      <c r="C273" s="41" t="s">
        <v>18</v>
      </c>
      <c r="D273" s="46">
        <v>44000</v>
      </c>
      <c r="E273" s="78">
        <v>4</v>
      </c>
      <c r="F273" s="11"/>
      <c r="H273" s="15">
        <f t="shared" si="65"/>
        <v>4</v>
      </c>
      <c r="I273" s="11"/>
      <c r="J273" s="13">
        <f t="shared" si="66"/>
        <v>11000</v>
      </c>
      <c r="K273" s="13">
        <f t="shared" si="67"/>
        <v>13200</v>
      </c>
      <c r="L273" s="13">
        <v>13000</v>
      </c>
      <c r="M273" s="13"/>
      <c r="N273" s="14">
        <f t="shared" si="68"/>
        <v>2000</v>
      </c>
      <c r="O273" s="14">
        <f t="shared" si="69"/>
        <v>8000</v>
      </c>
    </row>
    <row r="274" spans="1:15" x14ac:dyDescent="0.15">
      <c r="A274" s="11" t="s">
        <v>254</v>
      </c>
      <c r="B274" s="11" t="s">
        <v>261</v>
      </c>
      <c r="C274" s="41" t="s">
        <v>18</v>
      </c>
      <c r="D274" s="46">
        <v>44000</v>
      </c>
      <c r="E274" s="78">
        <v>4</v>
      </c>
      <c r="F274" s="11"/>
      <c r="H274" s="15">
        <f t="shared" si="65"/>
        <v>4</v>
      </c>
      <c r="I274" s="11"/>
      <c r="J274" s="13">
        <f t="shared" si="66"/>
        <v>11000</v>
      </c>
      <c r="K274" s="13">
        <f t="shared" si="67"/>
        <v>13200</v>
      </c>
      <c r="L274" s="13">
        <v>13000</v>
      </c>
      <c r="M274" s="13"/>
      <c r="N274" s="14">
        <f t="shared" si="68"/>
        <v>2000</v>
      </c>
      <c r="O274" s="14">
        <f t="shared" si="69"/>
        <v>8000</v>
      </c>
    </row>
    <row r="275" spans="1:15" x14ac:dyDescent="0.15">
      <c r="A275" s="11" t="s">
        <v>287</v>
      </c>
      <c r="B275" s="11" t="s">
        <v>261</v>
      </c>
      <c r="C275" s="41" t="s">
        <v>18</v>
      </c>
      <c r="D275" s="46">
        <v>44000</v>
      </c>
      <c r="E275" s="78">
        <v>4</v>
      </c>
      <c r="F275" s="11"/>
      <c r="H275" s="15">
        <f t="shared" si="65"/>
        <v>4</v>
      </c>
      <c r="I275" s="11"/>
      <c r="J275" s="13">
        <f t="shared" si="66"/>
        <v>11000</v>
      </c>
      <c r="K275" s="13">
        <f t="shared" si="67"/>
        <v>13200</v>
      </c>
      <c r="L275" s="13">
        <v>13000</v>
      </c>
      <c r="M275" s="13"/>
      <c r="N275" s="14">
        <f t="shared" si="68"/>
        <v>2000</v>
      </c>
      <c r="O275" s="14">
        <f t="shared" si="69"/>
        <v>8000</v>
      </c>
    </row>
    <row r="276" spans="1:15" x14ac:dyDescent="0.15">
      <c r="A276" s="11" t="s">
        <v>221</v>
      </c>
      <c r="B276" s="11" t="s">
        <v>261</v>
      </c>
      <c r="C276" s="41" t="s">
        <v>18</v>
      </c>
      <c r="D276" s="46">
        <v>44000</v>
      </c>
      <c r="E276" s="78">
        <v>4</v>
      </c>
      <c r="F276" s="11"/>
      <c r="H276" s="15">
        <f t="shared" si="65"/>
        <v>4</v>
      </c>
      <c r="I276" s="11"/>
      <c r="J276" s="13">
        <f t="shared" si="66"/>
        <v>11000</v>
      </c>
      <c r="K276" s="13">
        <f t="shared" si="67"/>
        <v>13200</v>
      </c>
      <c r="L276" s="13">
        <v>13000</v>
      </c>
      <c r="M276" s="13"/>
      <c r="N276" s="14">
        <f t="shared" si="68"/>
        <v>2000</v>
      </c>
      <c r="O276" s="14">
        <f t="shared" si="69"/>
        <v>8000</v>
      </c>
    </row>
    <row r="277" spans="1:15" x14ac:dyDescent="0.15">
      <c r="A277" s="11" t="s">
        <v>288</v>
      </c>
      <c r="B277" s="11" t="s">
        <v>261</v>
      </c>
      <c r="C277" s="41" t="s">
        <v>18</v>
      </c>
      <c r="D277" s="46">
        <v>44000</v>
      </c>
      <c r="E277" s="78">
        <v>4</v>
      </c>
      <c r="F277" s="11"/>
      <c r="H277" s="15">
        <f t="shared" si="65"/>
        <v>4</v>
      </c>
      <c r="I277" s="11"/>
      <c r="J277" s="13">
        <f t="shared" si="66"/>
        <v>11000</v>
      </c>
      <c r="K277" s="13">
        <f t="shared" si="67"/>
        <v>13200</v>
      </c>
      <c r="L277" s="13">
        <v>13000</v>
      </c>
      <c r="M277" s="13"/>
      <c r="N277" s="14">
        <f t="shared" si="68"/>
        <v>2000</v>
      </c>
      <c r="O277" s="14">
        <f t="shared" si="69"/>
        <v>8000</v>
      </c>
    </row>
    <row r="278" spans="1:15" x14ac:dyDescent="0.15">
      <c r="A278" s="11" t="s">
        <v>289</v>
      </c>
      <c r="B278" s="11" t="s">
        <v>261</v>
      </c>
      <c r="C278" s="41" t="s">
        <v>18</v>
      </c>
      <c r="D278" s="46">
        <v>44000</v>
      </c>
      <c r="E278" s="79">
        <v>4</v>
      </c>
      <c r="F278" s="11"/>
      <c r="H278" s="15">
        <f t="shared" si="65"/>
        <v>4</v>
      </c>
      <c r="I278" s="11"/>
      <c r="J278" s="13">
        <f t="shared" si="66"/>
        <v>11000</v>
      </c>
      <c r="K278" s="13">
        <f t="shared" si="67"/>
        <v>13200</v>
      </c>
      <c r="L278" s="13">
        <v>13000</v>
      </c>
      <c r="M278" s="13"/>
      <c r="N278" s="14">
        <f t="shared" si="68"/>
        <v>2000</v>
      </c>
      <c r="O278" s="14">
        <f t="shared" si="69"/>
        <v>8000</v>
      </c>
    </row>
    <row r="279" spans="1:15" x14ac:dyDescent="0.15">
      <c r="A279" s="11" t="s">
        <v>290</v>
      </c>
      <c r="B279" s="11" t="s">
        <v>261</v>
      </c>
      <c r="C279" s="41" t="s">
        <v>18</v>
      </c>
      <c r="D279" s="46">
        <v>44000</v>
      </c>
      <c r="E279" s="79">
        <v>4</v>
      </c>
      <c r="F279" s="11"/>
      <c r="H279" s="15">
        <f t="shared" si="65"/>
        <v>4</v>
      </c>
      <c r="I279" s="11"/>
      <c r="J279" s="13">
        <f t="shared" si="66"/>
        <v>11000</v>
      </c>
      <c r="K279" s="13">
        <f t="shared" si="67"/>
        <v>13200</v>
      </c>
      <c r="L279" s="13">
        <v>13000</v>
      </c>
      <c r="M279" s="13"/>
      <c r="N279" s="14">
        <f t="shared" si="68"/>
        <v>2000</v>
      </c>
      <c r="O279" s="14">
        <f t="shared" si="69"/>
        <v>8000</v>
      </c>
    </row>
    <row r="280" spans="1:15" x14ac:dyDescent="0.15">
      <c r="A280" s="11" t="s">
        <v>222</v>
      </c>
      <c r="B280" s="11" t="s">
        <v>261</v>
      </c>
      <c r="C280" s="41" t="s">
        <v>18</v>
      </c>
      <c r="D280" s="46">
        <v>44000</v>
      </c>
      <c r="E280" s="79">
        <v>4</v>
      </c>
      <c r="F280" s="11"/>
      <c r="H280" s="15">
        <f t="shared" si="65"/>
        <v>4</v>
      </c>
      <c r="I280" s="11"/>
      <c r="J280" s="13">
        <f t="shared" si="66"/>
        <v>11000</v>
      </c>
      <c r="K280" s="13">
        <f t="shared" si="67"/>
        <v>13200</v>
      </c>
      <c r="L280" s="13">
        <v>13000</v>
      </c>
      <c r="M280" s="13"/>
      <c r="N280" s="14">
        <f t="shared" si="68"/>
        <v>2000</v>
      </c>
      <c r="O280" s="14">
        <f t="shared" si="69"/>
        <v>8000</v>
      </c>
    </row>
    <row r="281" spans="1:15" x14ac:dyDescent="0.15">
      <c r="A281" s="11" t="s">
        <v>223</v>
      </c>
      <c r="B281" s="11" t="s">
        <v>261</v>
      </c>
      <c r="C281" s="41" t="s">
        <v>18</v>
      </c>
      <c r="D281" s="46">
        <v>44000</v>
      </c>
      <c r="E281" s="79">
        <v>4</v>
      </c>
      <c r="F281" s="11"/>
      <c r="H281" s="15">
        <f t="shared" si="65"/>
        <v>4</v>
      </c>
      <c r="I281" s="11"/>
      <c r="J281" s="13">
        <f t="shared" si="66"/>
        <v>11000</v>
      </c>
      <c r="K281" s="13">
        <f t="shared" si="67"/>
        <v>13200</v>
      </c>
      <c r="L281" s="13">
        <v>13000</v>
      </c>
      <c r="M281" s="13"/>
      <c r="N281" s="14">
        <f t="shared" si="68"/>
        <v>2000</v>
      </c>
      <c r="O281" s="14">
        <f t="shared" si="69"/>
        <v>8000</v>
      </c>
    </row>
  </sheetData>
  <mergeCells count="34">
    <mergeCell ref="C172:D172"/>
    <mergeCell ref="C173:D173"/>
    <mergeCell ref="C149:D149"/>
    <mergeCell ref="C153:D153"/>
    <mergeCell ref="C154:D154"/>
    <mergeCell ref="C165:D165"/>
    <mergeCell ref="C166:D166"/>
    <mergeCell ref="C118:D118"/>
    <mergeCell ref="C126:D126"/>
    <mergeCell ref="C127:D127"/>
    <mergeCell ref="H1:I1"/>
    <mergeCell ref="C54:D54"/>
    <mergeCell ref="C55:D55"/>
    <mergeCell ref="C1:D1"/>
    <mergeCell ref="C2:D2"/>
    <mergeCell ref="C17:D17"/>
    <mergeCell ref="C18:D18"/>
    <mergeCell ref="C38:D38"/>
    <mergeCell ref="C108:D108"/>
    <mergeCell ref="C109:D109"/>
    <mergeCell ref="C103:D103"/>
    <mergeCell ref="M1:M2"/>
    <mergeCell ref="C83:D83"/>
    <mergeCell ref="C89:D89"/>
    <mergeCell ref="C90:D90"/>
    <mergeCell ref="C102:D102"/>
    <mergeCell ref="C68:D68"/>
    <mergeCell ref="C69:D69"/>
    <mergeCell ref="C73:D73"/>
    <mergeCell ref="C74:D74"/>
    <mergeCell ref="C82:D82"/>
    <mergeCell ref="C39:D39"/>
    <mergeCell ref="C47:D47"/>
    <mergeCell ref="C48:D48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31C55-BE34-420F-9CAA-24BEA97C16D6}">
  <dimension ref="A1:O121"/>
  <sheetViews>
    <sheetView topLeftCell="C1" zoomScaleNormal="100" workbookViewId="0">
      <selection activeCell="H24" sqref="H24"/>
    </sheetView>
  </sheetViews>
  <sheetFormatPr baseColWidth="10" defaultColWidth="8.796875" defaultRowHeight="14" x14ac:dyDescent="0.15"/>
  <cols>
    <col min="1" max="1" width="5.59765625" style="10" customWidth="1"/>
    <col min="2" max="2" width="7" style="10" customWidth="1"/>
    <col min="3" max="3" width="27.19921875" style="10" customWidth="1"/>
    <col min="4" max="4" width="6.3984375" style="10" customWidth="1"/>
    <col min="5" max="5" width="8.796875" style="10"/>
    <col min="6" max="6" width="13.3984375" style="31" customWidth="1"/>
    <col min="7" max="7" width="12.3984375" style="10" customWidth="1"/>
    <col min="8" max="8" width="18.19921875" style="10" customWidth="1"/>
    <col min="9" max="16384" width="8.796875" style="10"/>
  </cols>
  <sheetData>
    <row r="1" spans="2:7" x14ac:dyDescent="0.15">
      <c r="B1" s="10" t="s">
        <v>206</v>
      </c>
    </row>
    <row r="2" spans="2:7" x14ac:dyDescent="0.15">
      <c r="B2" s="10" t="s">
        <v>126</v>
      </c>
      <c r="C2" s="57">
        <v>45957</v>
      </c>
      <c r="E2" s="22" t="s">
        <v>125</v>
      </c>
      <c r="F2" s="23">
        <f>SUM(G4:G24)</f>
        <v>9301000</v>
      </c>
      <c r="G2" s="58" t="s">
        <v>174</v>
      </c>
    </row>
    <row r="3" spans="2:7" x14ac:dyDescent="0.15">
      <c r="B3" s="32" t="s">
        <v>11</v>
      </c>
      <c r="C3" s="25" t="s">
        <v>7</v>
      </c>
      <c r="D3" s="136" t="s">
        <v>8</v>
      </c>
      <c r="E3" s="136"/>
      <c r="F3" s="26" t="s">
        <v>9</v>
      </c>
      <c r="G3" s="25" t="s">
        <v>10</v>
      </c>
    </row>
    <row r="4" spans="2:7" ht="16" x14ac:dyDescent="0.15">
      <c r="B4" s="33">
        <v>1</v>
      </c>
      <c r="C4" s="55" t="s">
        <v>19</v>
      </c>
      <c r="D4" s="28">
        <v>1</v>
      </c>
      <c r="E4" s="29" t="str">
        <f>VLOOKUP(C4,Pricing!$A$2:$D$147,2,FALSE)</f>
        <v>dus</v>
      </c>
      <c r="F4" s="29">
        <f>VLOOKUP(C4,Pricing!$A$2:$D$147,4,FALSE)</f>
        <v>427000</v>
      </c>
      <c r="G4" s="30">
        <f>D4*F4</f>
        <v>427000</v>
      </c>
    </row>
    <row r="5" spans="2:7" ht="16" x14ac:dyDescent="0.15">
      <c r="B5" s="33">
        <v>2</v>
      </c>
      <c r="C5" s="55" t="s">
        <v>20</v>
      </c>
      <c r="D5" s="28">
        <v>1</v>
      </c>
      <c r="E5" s="29" t="str">
        <f>VLOOKUP(C5,Pricing!$A$2:$D$147,2,FALSE)</f>
        <v>dus</v>
      </c>
      <c r="F5" s="29">
        <f>VLOOKUP(C5,Pricing!$A$2:$D$147,4,FALSE)</f>
        <v>427000</v>
      </c>
      <c r="G5" s="30">
        <f>D5*F5</f>
        <v>427000</v>
      </c>
    </row>
    <row r="6" spans="2:7" ht="16" x14ac:dyDescent="0.15">
      <c r="B6" s="33">
        <v>3</v>
      </c>
      <c r="C6" s="55" t="s">
        <v>26</v>
      </c>
      <c r="D6" s="28">
        <v>1</v>
      </c>
      <c r="E6" s="29" t="str">
        <f>VLOOKUP(C6,Pricing!$A$2:$D$147,2,FALSE)</f>
        <v>dus</v>
      </c>
      <c r="F6" s="29">
        <f>VLOOKUP(C6,Pricing!$A$2:$D$147,4,FALSE)</f>
        <v>288000</v>
      </c>
      <c r="G6" s="30">
        <f t="shared" ref="G6:G24" si="0">D6*F6</f>
        <v>288000</v>
      </c>
    </row>
    <row r="7" spans="2:7" ht="16" x14ac:dyDescent="0.15">
      <c r="B7" s="33">
        <v>4</v>
      </c>
      <c r="C7" s="55" t="s">
        <v>59</v>
      </c>
      <c r="D7" s="28">
        <v>1</v>
      </c>
      <c r="E7" s="29" t="str">
        <f>VLOOKUP(C7,Pricing!$A$2:$D$147,2,FALSE)</f>
        <v>Bal</v>
      </c>
      <c r="F7" s="29">
        <f>VLOOKUP(C7,Pricing!$A$2:$D$147,4,FALSE)</f>
        <v>55000</v>
      </c>
      <c r="G7" s="30">
        <f t="shared" si="0"/>
        <v>55000</v>
      </c>
    </row>
    <row r="8" spans="2:7" ht="16" x14ac:dyDescent="0.15">
      <c r="B8" s="33">
        <v>5</v>
      </c>
      <c r="C8" s="55" t="s">
        <v>65</v>
      </c>
      <c r="D8" s="28">
        <v>1</v>
      </c>
      <c r="E8" s="29" t="str">
        <f>VLOOKUP(C8,Pricing!$A$2:$D$147,2,FALSE)</f>
        <v>Karung</v>
      </c>
      <c r="F8" s="29">
        <f>VLOOKUP(C8,Pricing!$A$2:$D$147,4,FALSE)</f>
        <v>618500</v>
      </c>
      <c r="G8" s="30">
        <f t="shared" si="0"/>
        <v>618500</v>
      </c>
    </row>
    <row r="9" spans="2:7" ht="16" x14ac:dyDescent="0.15">
      <c r="B9" s="33">
        <v>6</v>
      </c>
      <c r="C9" s="55" t="s">
        <v>71</v>
      </c>
      <c r="D9" s="28">
        <v>5</v>
      </c>
      <c r="E9" s="29" t="str">
        <f>VLOOKUP(C9,Pricing!$A$2:$D$147,2,FALSE)</f>
        <v>ikat</v>
      </c>
      <c r="F9" s="29">
        <f>VLOOKUP(C9,Pricing!$A$2:$D$147,4,FALSE)</f>
        <v>134000</v>
      </c>
      <c r="G9" s="30">
        <f t="shared" si="0"/>
        <v>670000</v>
      </c>
    </row>
    <row r="10" spans="2:7" ht="16" x14ac:dyDescent="0.15">
      <c r="B10" s="33">
        <v>7</v>
      </c>
      <c r="C10" s="55" t="s">
        <v>73</v>
      </c>
      <c r="D10" s="28">
        <v>1</v>
      </c>
      <c r="E10" s="29" t="str">
        <f>VLOOKUP(C10,Pricing!$A$2:$D$147,2,FALSE)</f>
        <v>dus</v>
      </c>
      <c r="F10" s="29">
        <f>VLOOKUP(C10,Pricing!$A$2:$D$147,4,FALSE)</f>
        <v>426000</v>
      </c>
      <c r="G10" s="30">
        <f t="shared" si="0"/>
        <v>426000</v>
      </c>
    </row>
    <row r="11" spans="2:7" ht="16" x14ac:dyDescent="0.15">
      <c r="B11" s="33">
        <v>8</v>
      </c>
      <c r="C11" s="55" t="s">
        <v>74</v>
      </c>
      <c r="D11" s="28">
        <v>1</v>
      </c>
      <c r="E11" s="29" t="str">
        <f>VLOOKUP(C11,Pricing!$A$2:$D$147,2,FALSE)</f>
        <v>dus</v>
      </c>
      <c r="F11" s="29">
        <f>VLOOKUP(C11,Pricing!$A$2:$D$147,4,FALSE)</f>
        <v>448000</v>
      </c>
      <c r="G11" s="30">
        <f t="shared" si="0"/>
        <v>448000</v>
      </c>
    </row>
    <row r="12" spans="2:7" ht="16" x14ac:dyDescent="0.15">
      <c r="B12" s="33">
        <v>9</v>
      </c>
      <c r="C12" s="55" t="s">
        <v>75</v>
      </c>
      <c r="D12" s="28">
        <v>1</v>
      </c>
      <c r="E12" s="29" t="str">
        <f>VLOOKUP(C12,Pricing!$A$2:$D$147,2,FALSE)</f>
        <v>dus</v>
      </c>
      <c r="F12" s="29">
        <f>VLOOKUP(C12,Pricing!$A$2:$D$147,4,FALSE)</f>
        <v>492000</v>
      </c>
      <c r="G12" s="30">
        <f t="shared" si="0"/>
        <v>492000</v>
      </c>
    </row>
    <row r="13" spans="2:7" ht="16" x14ac:dyDescent="0.15">
      <c r="B13" s="33">
        <v>10</v>
      </c>
      <c r="C13" s="55" t="s">
        <v>79</v>
      </c>
      <c r="D13" s="28">
        <v>1</v>
      </c>
      <c r="E13" s="29" t="str">
        <f>VLOOKUP(C13,Pricing!$A$2:$D$147,2,FALSE)</f>
        <v>dus</v>
      </c>
      <c r="F13" s="29">
        <f>VLOOKUP(C13,Pricing!$A$2:$D$147,4,FALSE)</f>
        <v>390500</v>
      </c>
      <c r="G13" s="30">
        <f t="shared" si="0"/>
        <v>390500</v>
      </c>
    </row>
    <row r="14" spans="2:7" ht="16" x14ac:dyDescent="0.15">
      <c r="B14" s="33">
        <v>11</v>
      </c>
      <c r="C14" s="56" t="s">
        <v>104</v>
      </c>
      <c r="D14" s="28">
        <v>1</v>
      </c>
      <c r="E14" s="29" t="str">
        <f>VLOOKUP(C14,Pricing!$A$2:$D$147,2,FALSE)</f>
        <v>ikat</v>
      </c>
      <c r="F14" s="29">
        <f>VLOOKUP(C14,Pricing!$A$2:$D$147,4,FALSE)</f>
        <v>150000</v>
      </c>
      <c r="G14" s="30">
        <f t="shared" si="0"/>
        <v>150000</v>
      </c>
    </row>
    <row r="15" spans="2:7" ht="16" x14ac:dyDescent="0.15">
      <c r="B15" s="33">
        <v>12</v>
      </c>
      <c r="C15" s="56" t="s">
        <v>118</v>
      </c>
      <c r="D15" s="28">
        <v>1</v>
      </c>
      <c r="E15" s="29">
        <f>VLOOKUP(C15,Pricing!$A$2:$D$147,2,FALSE)</f>
        <v>0</v>
      </c>
      <c r="F15" s="29">
        <f>VLOOKUP(C15,Pricing!$A$2:$D$147,4,FALSE)</f>
        <v>180000</v>
      </c>
      <c r="G15" s="30">
        <f t="shared" si="0"/>
        <v>180000</v>
      </c>
    </row>
    <row r="16" spans="2:7" ht="16" x14ac:dyDescent="0.15">
      <c r="B16" s="33">
        <v>13</v>
      </c>
      <c r="C16" s="56" t="s">
        <v>119</v>
      </c>
      <c r="D16" s="28">
        <v>1</v>
      </c>
      <c r="E16" s="29">
        <f>VLOOKUP(C16,Pricing!$A$2:$D$147,2,FALSE)</f>
        <v>0</v>
      </c>
      <c r="F16" s="29">
        <f>VLOOKUP(C16,Pricing!$A$2:$D$147,4,FALSE)</f>
        <v>315000</v>
      </c>
      <c r="G16" s="30">
        <f t="shared" si="0"/>
        <v>315000</v>
      </c>
    </row>
    <row r="17" spans="2:8" ht="16" x14ac:dyDescent="0.15">
      <c r="B17" s="33">
        <v>14</v>
      </c>
      <c r="C17" s="56" t="s">
        <v>124</v>
      </c>
      <c r="D17" s="28">
        <v>1</v>
      </c>
      <c r="E17" s="29">
        <f>VLOOKUP(C17,Pricing!$A$2:$D$147,2,FALSE)</f>
        <v>0</v>
      </c>
      <c r="F17" s="29">
        <f>VLOOKUP(C17,Pricing!$A$2:$D$147,4,FALSE)</f>
        <v>505000</v>
      </c>
      <c r="G17" s="30">
        <f t="shared" si="0"/>
        <v>505000</v>
      </c>
    </row>
    <row r="18" spans="2:8" ht="16" x14ac:dyDescent="0.15">
      <c r="B18" s="33">
        <v>15</v>
      </c>
      <c r="C18" s="56" t="s">
        <v>115</v>
      </c>
      <c r="D18" s="28">
        <v>1</v>
      </c>
      <c r="E18" s="29" t="str">
        <f>VLOOKUP(C18,Pricing!$A$2:$D$147,2,FALSE)</f>
        <v>dus</v>
      </c>
      <c r="F18" s="29">
        <f>VLOOKUP(C18,Pricing!$A$2:$D$147,4,FALSE)</f>
        <v>377000</v>
      </c>
      <c r="G18" s="30">
        <f t="shared" si="0"/>
        <v>377000</v>
      </c>
    </row>
    <row r="19" spans="2:8" ht="16" x14ac:dyDescent="0.15">
      <c r="B19" s="33">
        <v>16</v>
      </c>
      <c r="C19" s="56" t="s">
        <v>154</v>
      </c>
      <c r="D19" s="28">
        <v>1</v>
      </c>
      <c r="E19" s="29" t="str">
        <f>VLOOKUP(C19,Pricing!$A$2:$D$147,2,FALSE)</f>
        <v>karung</v>
      </c>
      <c r="F19" s="29">
        <f>VLOOKUP(C19,Pricing!$A$2:$D$147,4,FALSE)</f>
        <v>1159000</v>
      </c>
      <c r="G19" s="30">
        <f t="shared" si="0"/>
        <v>1159000</v>
      </c>
    </row>
    <row r="20" spans="2:8" ht="16" x14ac:dyDescent="0.15">
      <c r="B20" s="33">
        <v>17</v>
      </c>
      <c r="C20" s="56" t="s">
        <v>157</v>
      </c>
      <c r="D20" s="28">
        <v>1</v>
      </c>
      <c r="E20" s="29" t="str">
        <f>VLOOKUP(C20,Pricing!$A$2:$D$147,2,FALSE)</f>
        <v>karung</v>
      </c>
      <c r="F20" s="29">
        <f>VLOOKUP(C20,Pricing!$A$2:$D$147,4,FALSE)</f>
        <v>730000</v>
      </c>
      <c r="G20" s="30">
        <f t="shared" si="0"/>
        <v>730000</v>
      </c>
    </row>
    <row r="21" spans="2:8" ht="16" x14ac:dyDescent="0.15">
      <c r="B21" s="33">
        <v>18</v>
      </c>
      <c r="C21" s="56" t="s">
        <v>158</v>
      </c>
      <c r="D21" s="28">
        <v>1</v>
      </c>
      <c r="E21" s="29" t="str">
        <f>VLOOKUP(C21,Pricing!$A$2:$D$147,2,FALSE)</f>
        <v>karung</v>
      </c>
      <c r="F21" s="29">
        <f>VLOOKUP(C21,Pricing!$A$2:$D$147,4,FALSE)</f>
        <v>858000</v>
      </c>
      <c r="G21" s="30">
        <f t="shared" si="0"/>
        <v>858000</v>
      </c>
    </row>
    <row r="22" spans="2:8" ht="16" x14ac:dyDescent="0.15">
      <c r="B22" s="33">
        <v>19</v>
      </c>
      <c r="C22" s="56" t="s">
        <v>168</v>
      </c>
      <c r="D22" s="28">
        <v>1</v>
      </c>
      <c r="E22" s="29" t="str">
        <f>VLOOKUP(C22,Pricing!$A$2:$D$147,2,FALSE)</f>
        <v>karung</v>
      </c>
      <c r="F22" s="29">
        <f>VLOOKUP(C22,Pricing!$A$2:$D$147,4,FALSE)</f>
        <v>530000</v>
      </c>
      <c r="G22" s="30">
        <f t="shared" si="0"/>
        <v>530000</v>
      </c>
    </row>
    <row r="23" spans="2:8" ht="32" x14ac:dyDescent="0.15">
      <c r="B23" s="33">
        <v>20</v>
      </c>
      <c r="C23" s="56" t="s">
        <v>170</v>
      </c>
      <c r="D23" s="28">
        <v>3</v>
      </c>
      <c r="E23" s="29" t="str">
        <f>VLOOKUP(C23,Pricing!$A$2:$D$147,2,FALSE)</f>
        <v>ikat</v>
      </c>
      <c r="F23" s="29">
        <f>VLOOKUP(C23,Pricing!$A$2:$D$147,4,FALSE)</f>
        <v>40000</v>
      </c>
      <c r="G23" s="30">
        <f t="shared" si="0"/>
        <v>120000</v>
      </c>
    </row>
    <row r="24" spans="2:8" ht="32" x14ac:dyDescent="0.15">
      <c r="B24" s="33">
        <v>21</v>
      </c>
      <c r="C24" s="56" t="s">
        <v>171</v>
      </c>
      <c r="D24" s="28">
        <v>3</v>
      </c>
      <c r="E24" s="29" t="str">
        <f>VLOOKUP(C24,Pricing!$A$2:$D$147,2,FALSE)</f>
        <v>ikat</v>
      </c>
      <c r="F24" s="29">
        <f>VLOOKUP(C24,Pricing!$A$2:$D$147,4,FALSE)</f>
        <v>45000</v>
      </c>
      <c r="G24" s="30">
        <f t="shared" si="0"/>
        <v>135000</v>
      </c>
      <c r="H24" s="54">
        <f>F6+F10+F13+F9</f>
        <v>1238500</v>
      </c>
    </row>
    <row r="26" spans="2:8" x14ac:dyDescent="0.15">
      <c r="B26" s="10" t="s">
        <v>206</v>
      </c>
    </row>
    <row r="27" spans="2:8" x14ac:dyDescent="0.15">
      <c r="B27" s="10" t="s">
        <v>126</v>
      </c>
      <c r="C27" s="57">
        <v>46038</v>
      </c>
      <c r="E27" s="22" t="s">
        <v>125</v>
      </c>
      <c r="F27" s="23">
        <f>SUM(G29:G53)</f>
        <v>3138750</v>
      </c>
    </row>
    <row r="28" spans="2:8" x14ac:dyDescent="0.15">
      <c r="B28" s="32" t="s">
        <v>11</v>
      </c>
      <c r="C28" s="25" t="s">
        <v>7</v>
      </c>
      <c r="D28" s="136" t="s">
        <v>8</v>
      </c>
      <c r="E28" s="136"/>
      <c r="F28" s="26" t="s">
        <v>9</v>
      </c>
      <c r="G28" s="25" t="s">
        <v>10</v>
      </c>
      <c r="H28" s="25" t="s">
        <v>140</v>
      </c>
    </row>
    <row r="29" spans="2:8" ht="16" x14ac:dyDescent="0.15">
      <c r="B29" s="33">
        <v>1</v>
      </c>
      <c r="C29" s="6" t="s">
        <v>185</v>
      </c>
      <c r="D29" s="28">
        <v>1</v>
      </c>
      <c r="E29" s="29" t="str">
        <f>VLOOKUP(C29,Pricing!$A$2:$D$281,2,FALSE)</f>
        <v>bal</v>
      </c>
      <c r="F29" s="29">
        <f>VLOOKUP(C29,Pricing!$A$2:$D$281,4,FALSE)</f>
        <v>48500</v>
      </c>
      <c r="G29" s="30">
        <f t="shared" ref="G29:G36" si="1">D29*F29</f>
        <v>48500</v>
      </c>
      <c r="H29" s="51"/>
    </row>
    <row r="30" spans="2:8" ht="16" x14ac:dyDescent="0.15">
      <c r="B30" s="33">
        <v>2</v>
      </c>
      <c r="C30" s="6" t="s">
        <v>187</v>
      </c>
      <c r="D30" s="28">
        <v>1</v>
      </c>
      <c r="E30" s="29" t="str">
        <f>VLOOKUP(C30,Pricing!$A$2:$D$281,2,FALSE)</f>
        <v>bal</v>
      </c>
      <c r="F30" s="29">
        <f>VLOOKUP(C30,Pricing!$A$2:$D$281,4,FALSE)</f>
        <v>77000</v>
      </c>
      <c r="G30" s="30">
        <f t="shared" si="1"/>
        <v>77000</v>
      </c>
      <c r="H30" s="51"/>
    </row>
    <row r="31" spans="2:8" ht="16" x14ac:dyDescent="0.15">
      <c r="B31" s="33">
        <v>3</v>
      </c>
      <c r="C31" s="6" t="s">
        <v>188</v>
      </c>
      <c r="D31" s="28">
        <v>1</v>
      </c>
      <c r="E31" s="29" t="str">
        <f>VLOOKUP(C31,Pricing!$A$2:$D$281,2,FALSE)</f>
        <v>bal</v>
      </c>
      <c r="F31" s="29">
        <f>VLOOKUP(C31,Pricing!$A$2:$D$281,4,FALSE)</f>
        <v>105000</v>
      </c>
      <c r="G31" s="30">
        <f t="shared" si="1"/>
        <v>105000</v>
      </c>
      <c r="H31" s="51"/>
    </row>
    <row r="32" spans="2:8" ht="16" x14ac:dyDescent="0.15">
      <c r="B32" s="33">
        <v>4</v>
      </c>
      <c r="C32" s="6" t="s">
        <v>189</v>
      </c>
      <c r="D32" s="28">
        <v>1</v>
      </c>
      <c r="E32" s="29" t="str">
        <f>VLOOKUP(C32,Pricing!$A$2:$D$281,2,FALSE)</f>
        <v>bal</v>
      </c>
      <c r="F32" s="29">
        <f>VLOOKUP(C32,Pricing!$A$2:$D$281,4,FALSE)</f>
        <v>125000</v>
      </c>
      <c r="G32" s="30">
        <f t="shared" si="1"/>
        <v>125000</v>
      </c>
      <c r="H32" s="51"/>
    </row>
    <row r="33" spans="2:8" ht="16" x14ac:dyDescent="0.15">
      <c r="B33" s="33">
        <v>5</v>
      </c>
      <c r="C33" s="6" t="s">
        <v>190</v>
      </c>
      <c r="D33" s="28">
        <v>1</v>
      </c>
      <c r="E33" s="29" t="str">
        <f>VLOOKUP(C33,Pricing!$A$2:$D$281,2,FALSE)</f>
        <v>bal</v>
      </c>
      <c r="F33" s="29">
        <f>VLOOKUP(C33,Pricing!$A$2:$D$281,4,FALSE)</f>
        <v>171000</v>
      </c>
      <c r="G33" s="30">
        <f t="shared" si="1"/>
        <v>171000</v>
      </c>
      <c r="H33" s="51"/>
    </row>
    <row r="34" spans="2:8" ht="16" x14ac:dyDescent="0.15">
      <c r="B34" s="33">
        <v>6</v>
      </c>
      <c r="C34" s="6" t="s">
        <v>201</v>
      </c>
      <c r="D34" s="60">
        <v>0.5</v>
      </c>
      <c r="E34" s="29" t="str">
        <f>VLOOKUP(C34,Pricing!$A$2:$D$281,2,FALSE)</f>
        <v>karung</v>
      </c>
      <c r="F34" s="29">
        <f>VLOOKUP(C34,Pricing!$A$2:$D$281,4,FALSE)</f>
        <v>1674500</v>
      </c>
      <c r="G34" s="30">
        <f t="shared" si="1"/>
        <v>837250</v>
      </c>
      <c r="H34" s="137" t="s">
        <v>198</v>
      </c>
    </row>
    <row r="35" spans="2:8" ht="16" x14ac:dyDescent="0.15">
      <c r="B35" s="33">
        <v>7</v>
      </c>
      <c r="C35" s="34" t="s">
        <v>204</v>
      </c>
      <c r="D35" s="28">
        <v>2</v>
      </c>
      <c r="E35" s="29" t="str">
        <f>VLOOKUP(C35,Pricing!$A$2:$D$281,2,FALSE)</f>
        <v>ikat</v>
      </c>
      <c r="F35" s="29">
        <f>VLOOKUP(C35,Pricing!$A$2:$D$281,4,FALSE)</f>
        <v>195000</v>
      </c>
      <c r="G35" s="30">
        <f t="shared" si="1"/>
        <v>390000</v>
      </c>
      <c r="H35" s="137"/>
    </row>
    <row r="36" spans="2:8" ht="16" x14ac:dyDescent="0.15">
      <c r="B36" s="33">
        <v>8</v>
      </c>
      <c r="C36" s="49" t="s">
        <v>205</v>
      </c>
      <c r="D36" s="28">
        <v>2</v>
      </c>
      <c r="E36" s="29" t="str">
        <f>VLOOKUP(C36,Pricing!$A$2:$D$281,2,FALSE)</f>
        <v>ikat</v>
      </c>
      <c r="F36" s="29">
        <f>VLOOKUP(C36,Pricing!$A$2:$D$281,4,FALSE)</f>
        <v>275000</v>
      </c>
      <c r="G36" s="30">
        <f t="shared" si="1"/>
        <v>550000</v>
      </c>
      <c r="H36" s="137"/>
    </row>
    <row r="37" spans="2:8" x14ac:dyDescent="0.15">
      <c r="B37" s="33">
        <v>9</v>
      </c>
      <c r="C37" s="11" t="s">
        <v>225</v>
      </c>
      <c r="D37" s="100">
        <v>5</v>
      </c>
      <c r="E37" s="29" t="str">
        <f>VLOOKUP(C37,Pricing!$A$2:$D$281,2,FALSE)</f>
        <v>bal</v>
      </c>
      <c r="F37" s="29">
        <f>VLOOKUP(C37,Pricing!$A$2:$D$281,4,FALSE)</f>
        <v>17000</v>
      </c>
      <c r="G37" s="30">
        <f t="shared" ref="G37:G42" si="2">D37*F37</f>
        <v>85000</v>
      </c>
      <c r="H37" s="137" t="s">
        <v>291</v>
      </c>
    </row>
    <row r="38" spans="2:8" x14ac:dyDescent="0.15">
      <c r="B38" s="33">
        <v>10</v>
      </c>
      <c r="C38" s="11" t="s">
        <v>228</v>
      </c>
      <c r="D38" s="100">
        <v>5</v>
      </c>
      <c r="E38" s="29" t="str">
        <f>VLOOKUP(C38,Pricing!$A$2:$D$281,2,FALSE)</f>
        <v>bal</v>
      </c>
      <c r="F38" s="29">
        <f>VLOOKUP(C38,Pricing!$A$2:$D$281,4,FALSE)</f>
        <v>20000</v>
      </c>
      <c r="G38" s="30">
        <f t="shared" si="2"/>
        <v>100000</v>
      </c>
      <c r="H38" s="137"/>
    </row>
    <row r="39" spans="2:8" x14ac:dyDescent="0.15">
      <c r="B39" s="33">
        <v>11</v>
      </c>
      <c r="C39" s="11" t="s">
        <v>230</v>
      </c>
      <c r="D39" s="100">
        <v>5</v>
      </c>
      <c r="E39" s="29" t="str">
        <f>VLOOKUP(C39,Pricing!$A$2:$D$281,2,FALSE)</f>
        <v>bal</v>
      </c>
      <c r="F39" s="29">
        <f>VLOOKUP(C39,Pricing!$A$2:$D$281,4,FALSE)</f>
        <v>30000</v>
      </c>
      <c r="G39" s="30">
        <f t="shared" si="2"/>
        <v>150000</v>
      </c>
      <c r="H39" s="137"/>
    </row>
    <row r="40" spans="2:8" x14ac:dyDescent="0.15">
      <c r="B40" s="33">
        <v>12</v>
      </c>
      <c r="C40" s="11" t="s">
        <v>233</v>
      </c>
      <c r="D40" s="100">
        <v>2</v>
      </c>
      <c r="E40" s="29" t="str">
        <f>VLOOKUP(C40,Pricing!$A$2:$D$281,2,FALSE)</f>
        <v>bal</v>
      </c>
      <c r="F40" s="29">
        <f>VLOOKUP(C40,Pricing!$A$2:$D$281,4,FALSE)</f>
        <v>30000</v>
      </c>
      <c r="G40" s="30">
        <f t="shared" si="2"/>
        <v>60000</v>
      </c>
      <c r="H40" s="137"/>
    </row>
    <row r="41" spans="2:8" x14ac:dyDescent="0.15">
      <c r="B41" s="33">
        <v>13</v>
      </c>
      <c r="C41" s="11" t="s">
        <v>218</v>
      </c>
      <c r="D41" s="100">
        <v>2</v>
      </c>
      <c r="E41" s="29" t="str">
        <f>VLOOKUP(C41,Pricing!$A$2:$D$281,2,FALSE)</f>
        <v>bal</v>
      </c>
      <c r="F41" s="29">
        <f>VLOOKUP(C41,Pricing!$A$2:$D$281,4,FALSE)</f>
        <v>85000</v>
      </c>
      <c r="G41" s="30">
        <f t="shared" si="2"/>
        <v>170000</v>
      </c>
      <c r="H41" s="137"/>
    </row>
    <row r="42" spans="2:8" x14ac:dyDescent="0.15">
      <c r="B42" s="33">
        <v>14</v>
      </c>
      <c r="C42" s="11" t="s">
        <v>239</v>
      </c>
      <c r="D42" s="100">
        <v>2</v>
      </c>
      <c r="E42" s="29" t="str">
        <f>VLOOKUP(C42,Pricing!$A$2:$D$281,2,FALSE)</f>
        <v>bal</v>
      </c>
      <c r="F42" s="29">
        <f>VLOOKUP(C42,Pricing!$A$2:$D$281,4,FALSE)</f>
        <v>43000</v>
      </c>
      <c r="G42" s="30">
        <f t="shared" si="2"/>
        <v>86000</v>
      </c>
      <c r="H42" s="137"/>
    </row>
    <row r="43" spans="2:8" x14ac:dyDescent="0.15">
      <c r="B43" s="33">
        <v>15</v>
      </c>
      <c r="C43" s="11" t="s">
        <v>242</v>
      </c>
      <c r="D43" s="100">
        <v>2</v>
      </c>
      <c r="E43" s="29" t="str">
        <f>VLOOKUP(C43,Pricing!$A$2:$D$281,2,FALSE)</f>
        <v>bal</v>
      </c>
      <c r="F43" s="29">
        <f>VLOOKUP(C43,Pricing!$A$2:$D$281,4,FALSE)</f>
        <v>42000</v>
      </c>
      <c r="G43" s="30">
        <f t="shared" ref="G43:G44" si="3">D43*F43</f>
        <v>84000</v>
      </c>
      <c r="H43" s="137"/>
    </row>
    <row r="44" spans="2:8" x14ac:dyDescent="0.15">
      <c r="B44" s="33">
        <v>16</v>
      </c>
      <c r="C44" s="11" t="s">
        <v>245</v>
      </c>
      <c r="D44" s="100">
        <v>2</v>
      </c>
      <c r="E44" s="29" t="str">
        <f>VLOOKUP(C44,Pricing!$A$2:$D$281,2,FALSE)</f>
        <v>bal</v>
      </c>
      <c r="F44" s="29">
        <f>VLOOKUP(C44,Pricing!$A$2:$D$281,4,FALSE)</f>
        <v>50000</v>
      </c>
      <c r="G44" s="30">
        <f t="shared" si="3"/>
        <v>100000</v>
      </c>
      <c r="H44" s="137"/>
    </row>
    <row r="45" spans="2:8" x14ac:dyDescent="0.15">
      <c r="E45" s="101"/>
      <c r="F45" s="101"/>
      <c r="G45" s="102"/>
    </row>
    <row r="92" spans="1:12" x14ac:dyDescent="0.15">
      <c r="A92" s="59"/>
      <c r="B92" s="59"/>
      <c r="C92" s="59"/>
      <c r="D92" s="59"/>
      <c r="E92" s="2"/>
    </row>
    <row r="93" spans="1:12" x14ac:dyDescent="0.15">
      <c r="A93" s="59"/>
      <c r="B93" s="59"/>
      <c r="C93" s="59"/>
      <c r="D93" s="59"/>
      <c r="E93" s="2"/>
      <c r="L93" s="10">
        <v>14000</v>
      </c>
    </row>
    <row r="94" spans="1:12" x14ac:dyDescent="0.15">
      <c r="A94" s="59"/>
      <c r="B94" s="59"/>
      <c r="C94" s="59"/>
      <c r="D94" s="59"/>
      <c r="E94" s="2"/>
      <c r="L94" s="10">
        <v>16000</v>
      </c>
    </row>
    <row r="95" spans="1:12" x14ac:dyDescent="0.15">
      <c r="A95" s="59"/>
      <c r="B95" s="59"/>
      <c r="C95" s="59"/>
      <c r="D95" s="59"/>
      <c r="E95" s="2"/>
      <c r="L95" s="10">
        <v>19000</v>
      </c>
    </row>
    <row r="96" spans="1:12" x14ac:dyDescent="0.15">
      <c r="A96" s="59"/>
      <c r="B96" s="59"/>
      <c r="C96" s="59"/>
      <c r="D96" s="59"/>
      <c r="E96" s="2"/>
      <c r="L96" s="10">
        <v>20000</v>
      </c>
    </row>
    <row r="97" spans="1:14" x14ac:dyDescent="0.15">
      <c r="A97" s="59"/>
      <c r="B97" s="59"/>
      <c r="C97" s="59"/>
      <c r="D97" s="59"/>
      <c r="E97" s="2"/>
      <c r="L97" s="10">
        <v>30000</v>
      </c>
    </row>
    <row r="98" spans="1:14" x14ac:dyDescent="0.15">
      <c r="A98" s="59"/>
      <c r="B98" s="59"/>
      <c r="C98" s="59"/>
      <c r="D98" s="59"/>
      <c r="E98" s="2"/>
      <c r="L98" s="10">
        <v>15000</v>
      </c>
    </row>
    <row r="99" spans="1:14" x14ac:dyDescent="0.15">
      <c r="A99" s="59"/>
      <c r="B99" s="59"/>
      <c r="C99" s="59"/>
      <c r="D99" s="59"/>
      <c r="E99" s="2"/>
      <c r="L99" s="10">
        <v>20000</v>
      </c>
    </row>
    <row r="100" spans="1:14" x14ac:dyDescent="0.15">
      <c r="A100" s="59"/>
      <c r="B100" s="59"/>
      <c r="C100" s="59"/>
      <c r="D100" s="59"/>
      <c r="E100" s="2"/>
    </row>
    <row r="101" spans="1:14" x14ac:dyDescent="0.15">
      <c r="A101" s="59"/>
      <c r="B101" s="59"/>
      <c r="C101" s="59"/>
      <c r="D101" s="59"/>
      <c r="E101" s="2"/>
    </row>
    <row r="102" spans="1:14" x14ac:dyDescent="0.15">
      <c r="A102" s="59"/>
      <c r="B102" s="59"/>
      <c r="C102" s="59"/>
      <c r="D102" s="59"/>
      <c r="E102" s="2"/>
      <c r="N102" s="10">
        <f>L102-J102</f>
        <v>0</v>
      </c>
    </row>
    <row r="103" spans="1:14" x14ac:dyDescent="0.15">
      <c r="A103" s="59"/>
      <c r="B103" s="59"/>
      <c r="C103" s="59"/>
      <c r="D103" s="59"/>
      <c r="E103" s="2"/>
      <c r="M103" s="10">
        <v>33000</v>
      </c>
    </row>
    <row r="104" spans="1:14" x14ac:dyDescent="0.15">
      <c r="A104" s="59"/>
      <c r="B104" s="59"/>
      <c r="C104" s="59"/>
      <c r="D104" s="59"/>
      <c r="E104" s="2"/>
      <c r="L104" s="10">
        <v>32000</v>
      </c>
      <c r="M104" s="10">
        <v>33000</v>
      </c>
    </row>
    <row r="105" spans="1:14" x14ac:dyDescent="0.15">
      <c r="A105" s="59"/>
      <c r="B105" s="59"/>
      <c r="C105" s="59"/>
      <c r="D105" s="59"/>
      <c r="E105" s="2"/>
      <c r="M105" s="10">
        <v>33000</v>
      </c>
    </row>
    <row r="106" spans="1:14" x14ac:dyDescent="0.15">
      <c r="A106" s="59"/>
      <c r="B106" s="59"/>
      <c r="C106" s="59"/>
      <c r="D106" s="59"/>
      <c r="E106" s="2"/>
    </row>
    <row r="107" spans="1:14" x14ac:dyDescent="0.15">
      <c r="A107" s="59"/>
      <c r="B107" s="59"/>
      <c r="C107" s="59"/>
      <c r="D107" s="59"/>
      <c r="E107" s="2"/>
      <c r="M107" s="10">
        <v>19000</v>
      </c>
    </row>
    <row r="108" spans="1:14" x14ac:dyDescent="0.15">
      <c r="A108" s="59"/>
      <c r="B108" s="59"/>
      <c r="C108" s="59"/>
      <c r="D108" s="59"/>
      <c r="E108" s="2"/>
      <c r="M108" s="10">
        <v>13000</v>
      </c>
    </row>
    <row r="109" spans="1:14" x14ac:dyDescent="0.15">
      <c r="A109" s="59"/>
      <c r="B109" s="59"/>
      <c r="C109" s="59"/>
      <c r="D109" s="59"/>
      <c r="E109" s="2"/>
      <c r="M109" s="10">
        <v>13000</v>
      </c>
    </row>
    <row r="110" spans="1:14" x14ac:dyDescent="0.15">
      <c r="A110" s="59"/>
      <c r="B110" s="59"/>
      <c r="C110" s="59"/>
      <c r="D110" s="59"/>
      <c r="E110" s="2"/>
    </row>
    <row r="111" spans="1:14" x14ac:dyDescent="0.15">
      <c r="A111" s="59"/>
      <c r="B111" s="59"/>
      <c r="C111" s="59"/>
      <c r="D111" s="59"/>
      <c r="E111" s="2"/>
      <c r="M111" s="10">
        <v>8100</v>
      </c>
    </row>
    <row r="112" spans="1:14" x14ac:dyDescent="0.15">
      <c r="A112" s="59"/>
      <c r="B112" s="59"/>
      <c r="C112" s="59"/>
      <c r="D112" s="59"/>
      <c r="E112" s="2"/>
      <c r="M112" s="10">
        <v>8100</v>
      </c>
    </row>
    <row r="113" spans="1:15" x14ac:dyDescent="0.15">
      <c r="A113" s="59"/>
      <c r="B113" s="59"/>
      <c r="C113" s="59"/>
      <c r="D113" s="59"/>
      <c r="E113" s="2"/>
      <c r="M113" s="10">
        <v>6100</v>
      </c>
    </row>
    <row r="114" spans="1:15" x14ac:dyDescent="0.15">
      <c r="A114" s="59"/>
      <c r="B114" s="59"/>
      <c r="C114" s="59"/>
      <c r="D114" s="59"/>
      <c r="E114" s="2"/>
      <c r="M114" s="10">
        <v>6100</v>
      </c>
    </row>
    <row r="115" spans="1:15" x14ac:dyDescent="0.15">
      <c r="A115" s="59"/>
      <c r="B115" s="59"/>
      <c r="C115" s="59"/>
      <c r="D115" s="59"/>
      <c r="E115" s="2"/>
    </row>
    <row r="116" spans="1:15" x14ac:dyDescent="0.15">
      <c r="A116" s="59"/>
      <c r="B116" s="59"/>
      <c r="C116" s="59"/>
      <c r="D116" s="59"/>
      <c r="E116" s="2"/>
    </row>
    <row r="117" spans="1:15" x14ac:dyDescent="0.15">
      <c r="A117" s="59"/>
      <c r="B117" s="59"/>
      <c r="C117" s="59"/>
      <c r="D117" s="59"/>
      <c r="E117" s="2"/>
    </row>
    <row r="118" spans="1:15" x14ac:dyDescent="0.15">
      <c r="A118" s="59"/>
      <c r="B118" s="59"/>
      <c r="C118" s="59"/>
      <c r="D118" s="59"/>
      <c r="E118" s="2"/>
      <c r="M118" s="10">
        <v>16000</v>
      </c>
    </row>
    <row r="119" spans="1:15" x14ac:dyDescent="0.15">
      <c r="A119" s="59"/>
      <c r="B119" s="59"/>
      <c r="C119" s="59"/>
      <c r="D119" s="59"/>
      <c r="E119" s="2"/>
      <c r="M119" s="10">
        <v>16000</v>
      </c>
    </row>
    <row r="120" spans="1:15" x14ac:dyDescent="0.15">
      <c r="A120" s="59"/>
      <c r="B120" s="59"/>
      <c r="C120" s="59"/>
      <c r="D120" s="59"/>
      <c r="E120" s="2"/>
      <c r="L120" s="10">
        <v>5000</v>
      </c>
      <c r="M120" s="10">
        <v>5000</v>
      </c>
    </row>
    <row r="121" spans="1:15" x14ac:dyDescent="0.15">
      <c r="A121" s="59"/>
      <c r="B121" s="59"/>
      <c r="C121" s="59"/>
      <c r="D121" s="59"/>
      <c r="E121" s="2"/>
      <c r="H121" s="51"/>
      <c r="I121" s="51"/>
      <c r="J121" s="51"/>
      <c r="K121" s="51"/>
      <c r="L121" s="51">
        <v>6000</v>
      </c>
      <c r="M121" s="51">
        <v>5000</v>
      </c>
      <c r="N121" s="51"/>
      <c r="O121" s="51"/>
    </row>
  </sheetData>
  <mergeCells count="4">
    <mergeCell ref="D3:E3"/>
    <mergeCell ref="D28:E28"/>
    <mergeCell ref="H34:H36"/>
    <mergeCell ref="H37:H44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076B8-8842-4A5A-B203-934A1866C165}">
  <dimension ref="A1:F24"/>
  <sheetViews>
    <sheetView workbookViewId="0">
      <selection activeCell="B4" sqref="B4:B24"/>
    </sheetView>
  </sheetViews>
  <sheetFormatPr baseColWidth="10" defaultColWidth="8.796875" defaultRowHeight="14" x14ac:dyDescent="0.15"/>
  <cols>
    <col min="1" max="1" width="6.19921875" style="2" customWidth="1"/>
    <col min="2" max="2" width="36.3984375" style="2" customWidth="1"/>
    <col min="3" max="3" width="17.796875" style="3" customWidth="1"/>
    <col min="4" max="4" width="17.59765625" style="2" customWidth="1"/>
    <col min="5" max="5" width="5.59765625" style="2" customWidth="1"/>
    <col min="6" max="6" width="12" style="2" customWidth="1"/>
    <col min="7" max="16384" width="8.796875" style="2"/>
  </cols>
  <sheetData>
    <row r="1" spans="1:6" ht="29" x14ac:dyDescent="0.15">
      <c r="A1" s="48" t="s">
        <v>139</v>
      </c>
    </row>
    <row r="3" spans="1:6" s="47" customFormat="1" x14ac:dyDescent="0.15">
      <c r="A3" s="24" t="s">
        <v>11</v>
      </c>
      <c r="B3" s="24" t="s">
        <v>7</v>
      </c>
      <c r="C3" s="62" t="s">
        <v>141</v>
      </c>
      <c r="D3" s="24" t="s">
        <v>142</v>
      </c>
      <c r="E3" s="138" t="s">
        <v>140</v>
      </c>
      <c r="F3" s="139"/>
    </row>
    <row r="4" spans="1:6" ht="16" x14ac:dyDescent="0.15">
      <c r="A4" s="11">
        <v>1</v>
      </c>
      <c r="B4" s="27" t="s">
        <v>19</v>
      </c>
      <c r="C4" s="13" t="s">
        <v>207</v>
      </c>
      <c r="D4" s="13">
        <f>VLOOKUP(B4,Pricing!$A$3:$O$180,12,FALSE)</f>
        <v>11000</v>
      </c>
      <c r="E4" s="61">
        <v>50</v>
      </c>
      <c r="F4" s="45" t="s">
        <v>211</v>
      </c>
    </row>
    <row r="5" spans="1:6" ht="16" x14ac:dyDescent="0.15">
      <c r="A5" s="11">
        <v>2</v>
      </c>
      <c r="B5" s="27" t="s">
        <v>20</v>
      </c>
      <c r="C5" s="13" t="s">
        <v>207</v>
      </c>
      <c r="D5" s="13">
        <f>VLOOKUP(B5,Pricing!$A$3:$O$180,12,FALSE)</f>
        <v>11000</v>
      </c>
      <c r="E5" s="61">
        <v>50</v>
      </c>
      <c r="F5" s="45" t="s">
        <v>211</v>
      </c>
    </row>
    <row r="6" spans="1:6" ht="16" x14ac:dyDescent="0.15">
      <c r="A6" s="11">
        <v>3</v>
      </c>
      <c r="B6" s="27" t="s">
        <v>26</v>
      </c>
      <c r="C6" s="13" t="s">
        <v>207</v>
      </c>
      <c r="D6" s="13">
        <f>VLOOKUP(B6,Pricing!$A$3:$O$180,12,FALSE)</f>
        <v>10000</v>
      </c>
      <c r="E6" s="61">
        <v>50</v>
      </c>
      <c r="F6" s="45" t="s">
        <v>211</v>
      </c>
    </row>
    <row r="7" spans="1:6" ht="16" x14ac:dyDescent="0.15">
      <c r="A7" s="11">
        <v>4</v>
      </c>
      <c r="B7" s="27" t="s">
        <v>59</v>
      </c>
      <c r="C7" s="13" t="s">
        <v>207</v>
      </c>
      <c r="D7" s="13">
        <f>VLOOKUP(B7,Pricing!$A$3:$O$180,12,FALSE)</f>
        <v>7000</v>
      </c>
      <c r="E7" s="61"/>
      <c r="F7" s="45"/>
    </row>
    <row r="8" spans="1:6" ht="16" x14ac:dyDescent="0.15">
      <c r="A8" s="11">
        <v>5</v>
      </c>
      <c r="B8" s="49" t="s">
        <v>65</v>
      </c>
      <c r="C8" s="13" t="s">
        <v>207</v>
      </c>
      <c r="D8" s="13">
        <f>VLOOKUP(B8,Pricing!$A$3:$O$180,12,FALSE)</f>
        <v>30000</v>
      </c>
      <c r="E8" s="61">
        <v>5</v>
      </c>
      <c r="F8" s="45" t="s">
        <v>208</v>
      </c>
    </row>
    <row r="9" spans="1:6" ht="16" x14ac:dyDescent="0.15">
      <c r="A9" s="11">
        <v>6</v>
      </c>
      <c r="B9" s="49" t="s">
        <v>71</v>
      </c>
      <c r="C9" s="13" t="s">
        <v>207</v>
      </c>
      <c r="D9" s="13">
        <f>VLOOKUP(B9,Pricing!$A$3:$O$180,12,FALSE)</f>
        <v>30000</v>
      </c>
      <c r="E9" s="61">
        <v>5</v>
      </c>
      <c r="F9" s="45" t="s">
        <v>208</v>
      </c>
    </row>
    <row r="10" spans="1:6" ht="16" x14ac:dyDescent="0.15">
      <c r="A10" s="11">
        <v>7</v>
      </c>
      <c r="B10" s="27" t="s">
        <v>73</v>
      </c>
      <c r="C10" s="13">
        <v>1500</v>
      </c>
      <c r="D10" s="13">
        <f>VLOOKUP(B10,Pricing!$A$3:$O$180,12,FALSE)</f>
        <v>25000</v>
      </c>
      <c r="E10" s="61">
        <v>25</v>
      </c>
      <c r="F10" s="45" t="s">
        <v>209</v>
      </c>
    </row>
    <row r="11" spans="1:6" ht="16" x14ac:dyDescent="0.15">
      <c r="A11" s="11">
        <v>8</v>
      </c>
      <c r="B11" s="27" t="s">
        <v>74</v>
      </c>
      <c r="C11" s="13">
        <v>1500</v>
      </c>
      <c r="D11" s="13">
        <f>VLOOKUP(B11,Pricing!$A$3:$O$180,12,FALSE)</f>
        <v>26000</v>
      </c>
      <c r="E11" s="61">
        <v>25</v>
      </c>
      <c r="F11" s="45" t="s">
        <v>209</v>
      </c>
    </row>
    <row r="12" spans="1:6" ht="16" x14ac:dyDescent="0.15">
      <c r="A12" s="11">
        <v>9</v>
      </c>
      <c r="B12" s="27" t="s">
        <v>75</v>
      </c>
      <c r="C12" s="13">
        <v>1500</v>
      </c>
      <c r="D12" s="13">
        <f>VLOOKUP(B12,Pricing!$A$3:$O$180,12,FALSE)</f>
        <v>28000</v>
      </c>
      <c r="E12" s="61">
        <v>25</v>
      </c>
      <c r="F12" s="45" t="s">
        <v>209</v>
      </c>
    </row>
    <row r="13" spans="1:6" ht="16" x14ac:dyDescent="0.15">
      <c r="A13" s="11">
        <v>10</v>
      </c>
      <c r="B13" s="27" t="s">
        <v>79</v>
      </c>
      <c r="C13" s="13">
        <v>3000</v>
      </c>
      <c r="D13" s="13">
        <f>VLOOKUP(B13,Pricing!$A$3:$O$180,12,FALSE)</f>
        <v>70000</v>
      </c>
      <c r="E13" s="61">
        <v>25</v>
      </c>
      <c r="F13" s="45" t="s">
        <v>209</v>
      </c>
    </row>
    <row r="14" spans="1:6" ht="16" x14ac:dyDescent="0.15">
      <c r="A14" s="11">
        <v>11</v>
      </c>
      <c r="B14" s="27" t="s">
        <v>104</v>
      </c>
      <c r="C14" s="13" t="s">
        <v>207</v>
      </c>
      <c r="D14" s="13">
        <f>VLOOKUP(B14,Pricing!$A$3:$O$180,12,FALSE)</f>
        <v>20000</v>
      </c>
      <c r="E14" s="61">
        <v>10</v>
      </c>
      <c r="F14" s="45" t="s">
        <v>209</v>
      </c>
    </row>
    <row r="15" spans="1:6" ht="16" x14ac:dyDescent="0.15">
      <c r="A15" s="11">
        <v>12</v>
      </c>
      <c r="B15" s="27" t="s">
        <v>118</v>
      </c>
      <c r="C15" s="13" t="s">
        <v>207</v>
      </c>
      <c r="D15" s="13">
        <f>VLOOKUP(B15,Pricing!$A$3:$O$180,12,FALSE)</f>
        <v>11000</v>
      </c>
      <c r="E15" s="61">
        <v>100</v>
      </c>
      <c r="F15" s="45" t="s">
        <v>209</v>
      </c>
    </row>
    <row r="16" spans="1:6" ht="16" x14ac:dyDescent="0.15">
      <c r="A16" s="11">
        <v>13</v>
      </c>
      <c r="B16" s="27" t="s">
        <v>119</v>
      </c>
      <c r="C16" s="13" t="s">
        <v>207</v>
      </c>
      <c r="D16" s="13">
        <f>VLOOKUP(B16,Pricing!$A$3:$O$180,12,FALSE)</f>
        <v>13000</v>
      </c>
      <c r="E16" s="61">
        <v>100</v>
      </c>
      <c r="F16" s="45" t="s">
        <v>209</v>
      </c>
    </row>
    <row r="17" spans="1:6" ht="16" x14ac:dyDescent="0.15">
      <c r="A17" s="11">
        <v>14</v>
      </c>
      <c r="B17" s="27" t="s">
        <v>124</v>
      </c>
      <c r="C17" s="13" t="s">
        <v>207</v>
      </c>
      <c r="D17" s="13">
        <f>VLOOKUP(B17,Pricing!$A$3:$O$180,12,FALSE)</f>
        <v>27000</v>
      </c>
      <c r="E17" s="61">
        <v>500</v>
      </c>
      <c r="F17" s="45" t="s">
        <v>209</v>
      </c>
    </row>
    <row r="18" spans="1:6" ht="16" x14ac:dyDescent="0.15">
      <c r="A18" s="11">
        <v>15</v>
      </c>
      <c r="B18" s="27" t="s">
        <v>115</v>
      </c>
      <c r="C18" s="13">
        <v>9000</v>
      </c>
      <c r="D18" s="13">
        <v>35000</v>
      </c>
      <c r="E18" s="61">
        <v>4</v>
      </c>
      <c r="F18" s="45" t="s">
        <v>209</v>
      </c>
    </row>
    <row r="19" spans="1:6" ht="16" x14ac:dyDescent="0.15">
      <c r="A19" s="11">
        <v>16</v>
      </c>
      <c r="B19" s="49" t="s">
        <v>154</v>
      </c>
      <c r="C19" s="13" t="s">
        <v>207</v>
      </c>
      <c r="D19" s="13">
        <f>VLOOKUP(B19,Pricing!$A$3:$O$180,12,FALSE)</f>
        <v>32000</v>
      </c>
      <c r="E19" s="61">
        <v>50</v>
      </c>
      <c r="F19" s="45" t="s">
        <v>209</v>
      </c>
    </row>
    <row r="20" spans="1:6" ht="16" x14ac:dyDescent="0.15">
      <c r="A20" s="11">
        <v>17</v>
      </c>
      <c r="B20" s="49" t="s">
        <v>157</v>
      </c>
      <c r="C20" s="13" t="s">
        <v>207</v>
      </c>
      <c r="D20" s="13">
        <f>VLOOKUP(B20,Pricing!$A$3:$O$180,12,FALSE)</f>
        <v>18000</v>
      </c>
      <c r="E20" s="61">
        <v>50</v>
      </c>
      <c r="F20" s="45" t="s">
        <v>209</v>
      </c>
    </row>
    <row r="21" spans="1:6" ht="16" x14ac:dyDescent="0.15">
      <c r="A21" s="11">
        <v>18</v>
      </c>
      <c r="B21" s="49" t="s">
        <v>158</v>
      </c>
      <c r="C21" s="13" t="s">
        <v>207</v>
      </c>
      <c r="D21" s="13">
        <f>VLOOKUP(B21,Pricing!$A$3:$O$180,12,FALSE)</f>
        <v>13000</v>
      </c>
      <c r="E21" s="61">
        <v>50</v>
      </c>
      <c r="F21" s="45" t="s">
        <v>209</v>
      </c>
    </row>
    <row r="22" spans="1:6" ht="16" x14ac:dyDescent="0.15">
      <c r="A22" s="11">
        <v>19</v>
      </c>
      <c r="B22" s="49" t="s">
        <v>168</v>
      </c>
      <c r="C22" s="13">
        <v>16000</v>
      </c>
      <c r="D22" s="13">
        <v>15000</v>
      </c>
      <c r="E22" s="61">
        <v>2</v>
      </c>
      <c r="F22" s="45" t="s">
        <v>210</v>
      </c>
    </row>
    <row r="23" spans="1:6" ht="16" x14ac:dyDescent="0.15">
      <c r="A23" s="11">
        <v>20</v>
      </c>
      <c r="B23" s="49" t="s">
        <v>170</v>
      </c>
      <c r="C23" s="13" t="s">
        <v>207</v>
      </c>
      <c r="D23" s="13">
        <f>VLOOKUP(B23,Pricing!$A$3:$O$180,12,FALSE)</f>
        <v>5000</v>
      </c>
      <c r="E23" s="61"/>
      <c r="F23" s="45"/>
    </row>
    <row r="24" spans="1:6" ht="16" x14ac:dyDescent="0.15">
      <c r="A24" s="11">
        <v>21</v>
      </c>
      <c r="B24" s="49" t="s">
        <v>171</v>
      </c>
      <c r="C24" s="13" t="s">
        <v>207</v>
      </c>
      <c r="D24" s="13">
        <f>VLOOKUP(B24,Pricing!$A$3:$O$180,12,FALSE)</f>
        <v>6000</v>
      </c>
      <c r="E24" s="61"/>
      <c r="F24" s="45"/>
    </row>
  </sheetData>
  <mergeCells count="1">
    <mergeCell ref="E3:F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7BB3F-63B4-4A9E-85E3-589B26F80761}">
  <sheetPr>
    <pageSetUpPr fitToPage="1"/>
  </sheetPr>
  <dimension ref="A1:M52"/>
  <sheetViews>
    <sheetView tabSelected="1" zoomScale="78" workbookViewId="0">
      <selection activeCell="F16" sqref="F16"/>
    </sheetView>
  </sheetViews>
  <sheetFormatPr baseColWidth="10" defaultColWidth="8.796875" defaultRowHeight="14" x14ac:dyDescent="0.15"/>
  <cols>
    <col min="1" max="1" width="5.796875" style="10" customWidth="1"/>
    <col min="2" max="2" width="35.19921875" style="10" customWidth="1"/>
    <col min="3" max="3" width="10" style="10" customWidth="1"/>
    <col min="4" max="6" width="12.796875" style="31" customWidth="1"/>
    <col min="7" max="8" width="16.3984375" style="31" customWidth="1"/>
    <col min="9" max="9" width="18.19921875" style="10" customWidth="1"/>
    <col min="10" max="10" width="14.796875" style="106" customWidth="1"/>
    <col min="11" max="11" width="19.59765625" style="10" customWidth="1"/>
    <col min="12" max="12" width="17" style="10" customWidth="1"/>
    <col min="13" max="13" width="17.796875" style="10" customWidth="1"/>
    <col min="14" max="16384" width="8.796875" style="10"/>
  </cols>
  <sheetData>
    <row r="1" spans="1:13" x14ac:dyDescent="0.15">
      <c r="A1" s="10" t="s">
        <v>125</v>
      </c>
      <c r="B1" s="54">
        <f>SUM(G:G)</f>
        <v>12669500</v>
      </c>
    </row>
    <row r="2" spans="1:13" s="53" customFormat="1" x14ac:dyDescent="0.15">
      <c r="A2" s="107" t="s">
        <v>11</v>
      </c>
      <c r="B2" s="107" t="s">
        <v>7</v>
      </c>
      <c r="C2" s="107" t="s">
        <v>173</v>
      </c>
      <c r="D2" s="119" t="s">
        <v>2</v>
      </c>
      <c r="E2" s="108" t="s">
        <v>305</v>
      </c>
      <c r="F2" s="108" t="s">
        <v>5</v>
      </c>
      <c r="G2" s="109" t="s">
        <v>172</v>
      </c>
      <c r="H2" s="109" t="s">
        <v>306</v>
      </c>
      <c r="I2" s="126" t="s">
        <v>307</v>
      </c>
      <c r="J2" s="124" t="s">
        <v>308</v>
      </c>
      <c r="K2" s="25" t="s">
        <v>303</v>
      </c>
      <c r="L2" s="25" t="s">
        <v>304</v>
      </c>
    </row>
    <row r="3" spans="1:13" s="53" customFormat="1" x14ac:dyDescent="0.15">
      <c r="A3" s="110"/>
      <c r="B3" s="110"/>
      <c r="C3" s="110"/>
      <c r="D3" s="111"/>
      <c r="E3" s="120">
        <v>1.5</v>
      </c>
      <c r="F3" s="111"/>
      <c r="G3" s="112"/>
      <c r="H3" s="121"/>
      <c r="I3" s="127"/>
      <c r="J3" s="125"/>
      <c r="K3" s="116">
        <v>0.1</v>
      </c>
      <c r="L3" s="25"/>
    </row>
    <row r="4" spans="1:13" ht="16" x14ac:dyDescent="0.15">
      <c r="A4" s="33">
        <v>1</v>
      </c>
      <c r="B4" s="55" t="s">
        <v>19</v>
      </c>
      <c r="C4" s="29">
        <f>VLOOKUP(B4,Pricing!$A$1:$O$281,8,FALSE)</f>
        <v>40</v>
      </c>
      <c r="D4" s="29">
        <f>VLOOKUP(B4,Pricing!$A$1:$O$281,10,FALSE)</f>
        <v>10675</v>
      </c>
      <c r="E4" s="29">
        <v>15000</v>
      </c>
      <c r="F4" s="29">
        <f>E4-D4</f>
        <v>4325</v>
      </c>
      <c r="G4" s="29">
        <f>C4*F4</f>
        <v>173000</v>
      </c>
      <c r="H4" s="29">
        <v>16000</v>
      </c>
      <c r="I4" s="30">
        <f>H4-D4</f>
        <v>5325</v>
      </c>
      <c r="J4" s="122">
        <f>C4*I4</f>
        <v>213000</v>
      </c>
      <c r="K4" s="117">
        <f>H4*$K$3</f>
        <v>1600</v>
      </c>
      <c r="L4" s="123">
        <f>J4-(J4*$K$3)</f>
        <v>191700</v>
      </c>
      <c r="M4" s="31"/>
    </row>
    <row r="5" spans="1:13" ht="16" x14ac:dyDescent="0.15">
      <c r="A5" s="33">
        <v>2</v>
      </c>
      <c r="B5" s="55" t="s">
        <v>20</v>
      </c>
      <c r="C5" s="29">
        <f>VLOOKUP(B5,Pricing!$A$1:$O$281,8,FALSE)</f>
        <v>40</v>
      </c>
      <c r="D5" s="29">
        <f>VLOOKUP(B5,Pricing!$A$1:$O$281,10,FALSE)</f>
        <v>10675</v>
      </c>
      <c r="E5" s="29">
        <v>15000</v>
      </c>
      <c r="F5" s="29">
        <f t="shared" ref="F5:F40" si="0">E5-D5</f>
        <v>4325</v>
      </c>
      <c r="G5" s="29">
        <f t="shared" ref="G5:G33" si="1">C5*F5</f>
        <v>173000</v>
      </c>
      <c r="H5" s="29">
        <v>16000</v>
      </c>
      <c r="I5" s="30">
        <f t="shared" ref="I5:I40" si="2">H5-D5</f>
        <v>5325</v>
      </c>
      <c r="J5" s="122">
        <f t="shared" ref="J5:J40" si="3">C5*I5</f>
        <v>213000</v>
      </c>
      <c r="K5" s="117">
        <f t="shared" ref="K5:K52" si="4">H5*$K$3</f>
        <v>1600</v>
      </c>
      <c r="L5" s="123">
        <f>J5-(K5*C5)</f>
        <v>149000</v>
      </c>
    </row>
    <row r="6" spans="1:13" ht="16" x14ac:dyDescent="0.15">
      <c r="A6" s="33">
        <v>3</v>
      </c>
      <c r="B6" s="55" t="s">
        <v>26</v>
      </c>
      <c r="C6" s="29">
        <f>VLOOKUP(B6,Pricing!$A$1:$O$281,8,FALSE)</f>
        <v>40</v>
      </c>
      <c r="D6" s="29">
        <f>VLOOKUP(B6,Pricing!$A$1:$O$281,10,FALSE)</f>
        <v>7200</v>
      </c>
      <c r="E6" s="29">
        <v>11000</v>
      </c>
      <c r="F6" s="29">
        <f t="shared" si="0"/>
        <v>3800</v>
      </c>
      <c r="G6" s="29">
        <f t="shared" si="1"/>
        <v>152000</v>
      </c>
      <c r="H6" s="29">
        <v>13000</v>
      </c>
      <c r="I6" s="30">
        <f t="shared" si="2"/>
        <v>5800</v>
      </c>
      <c r="J6" s="122">
        <f t="shared" si="3"/>
        <v>232000</v>
      </c>
      <c r="K6" s="117">
        <f t="shared" si="4"/>
        <v>1300</v>
      </c>
      <c r="L6" s="123">
        <f t="shared" ref="L6:L52" si="5">J6-(K6*C6)</f>
        <v>180000</v>
      </c>
    </row>
    <row r="7" spans="1:13" ht="16" x14ac:dyDescent="0.15">
      <c r="A7" s="33">
        <v>4</v>
      </c>
      <c r="B7" s="27" t="s">
        <v>59</v>
      </c>
      <c r="C7" s="29">
        <f>VLOOKUP(B7,Pricing!$A$1:$O$281,8,FALSE)</f>
        <v>10</v>
      </c>
      <c r="D7" s="29">
        <f>VLOOKUP(B7,Pricing!$A$1:$O$281,10,FALSE)</f>
        <v>5500</v>
      </c>
      <c r="E7" s="29">
        <v>7000</v>
      </c>
      <c r="F7" s="29">
        <f t="shared" si="0"/>
        <v>1500</v>
      </c>
      <c r="G7" s="29">
        <f t="shared" si="1"/>
        <v>15000</v>
      </c>
      <c r="H7" s="29">
        <v>7000</v>
      </c>
      <c r="I7" s="30">
        <f t="shared" si="2"/>
        <v>1500</v>
      </c>
      <c r="J7" s="115">
        <f t="shared" si="3"/>
        <v>15000</v>
      </c>
      <c r="K7" s="117">
        <f t="shared" si="4"/>
        <v>700</v>
      </c>
      <c r="L7" s="117">
        <f t="shared" si="5"/>
        <v>8000</v>
      </c>
    </row>
    <row r="8" spans="1:13" ht="16" x14ac:dyDescent="0.15">
      <c r="A8" s="33">
        <v>5</v>
      </c>
      <c r="B8" s="55" t="s">
        <v>65</v>
      </c>
      <c r="C8" s="29">
        <f>VLOOKUP(B8,Pricing!$A$1:$O$281,8,FALSE)</f>
        <v>25</v>
      </c>
      <c r="D8" s="29">
        <f>VLOOKUP(B8,Pricing!$A$1:$O$281,10,FALSE)</f>
        <v>24740</v>
      </c>
      <c r="E8" s="29">
        <v>35000</v>
      </c>
      <c r="F8" s="29">
        <f t="shared" si="0"/>
        <v>10260</v>
      </c>
      <c r="G8" s="29">
        <f t="shared" si="1"/>
        <v>256500</v>
      </c>
      <c r="H8" s="29">
        <v>34900</v>
      </c>
      <c r="I8" s="30">
        <f t="shared" si="2"/>
        <v>10160</v>
      </c>
      <c r="J8" s="122">
        <f t="shared" si="3"/>
        <v>254000</v>
      </c>
      <c r="K8" s="117">
        <f t="shared" si="4"/>
        <v>3490</v>
      </c>
      <c r="L8" s="123">
        <f t="shared" si="5"/>
        <v>166750</v>
      </c>
    </row>
    <row r="9" spans="1:13" ht="16" x14ac:dyDescent="0.15">
      <c r="A9" s="33">
        <v>6</v>
      </c>
      <c r="B9" s="55" t="s">
        <v>71</v>
      </c>
      <c r="C9" s="29">
        <f>VLOOKUP(B9,Pricing!$A$1:$O$281,8,FALSE)</f>
        <v>25</v>
      </c>
      <c r="D9" s="29">
        <f>VLOOKUP(B9,Pricing!$A$1:$O$281,10,FALSE)</f>
        <v>5360</v>
      </c>
      <c r="E9" s="29">
        <v>15000</v>
      </c>
      <c r="F9" s="29">
        <f t="shared" si="0"/>
        <v>9640</v>
      </c>
      <c r="G9" s="29">
        <f t="shared" si="1"/>
        <v>241000</v>
      </c>
      <c r="H9" s="29">
        <v>14900</v>
      </c>
      <c r="I9" s="30">
        <f t="shared" si="2"/>
        <v>9540</v>
      </c>
      <c r="J9" s="122">
        <f t="shared" si="3"/>
        <v>238500</v>
      </c>
      <c r="K9" s="117">
        <f t="shared" si="4"/>
        <v>1490</v>
      </c>
      <c r="L9" s="123">
        <f t="shared" si="5"/>
        <v>201250</v>
      </c>
    </row>
    <row r="10" spans="1:13" ht="16" x14ac:dyDescent="0.15">
      <c r="A10" s="33">
        <v>7</v>
      </c>
      <c r="B10" s="27" t="s">
        <v>73</v>
      </c>
      <c r="C10" s="29">
        <f>VLOOKUP(B10,Pricing!$A$1:$O$281,8,FALSE)</f>
        <v>20</v>
      </c>
      <c r="D10" s="29">
        <f>VLOOKUP(B10,Pricing!$A$1:$O$281,10,FALSE)</f>
        <v>21300</v>
      </c>
      <c r="E10" s="29">
        <v>35000</v>
      </c>
      <c r="F10" s="29">
        <f t="shared" si="0"/>
        <v>13700</v>
      </c>
      <c r="G10" s="29">
        <f t="shared" si="1"/>
        <v>274000</v>
      </c>
      <c r="H10" s="29">
        <v>34900</v>
      </c>
      <c r="I10" s="30">
        <f t="shared" si="2"/>
        <v>13600</v>
      </c>
      <c r="J10" s="122">
        <f t="shared" si="3"/>
        <v>272000</v>
      </c>
      <c r="K10" s="117">
        <f t="shared" si="4"/>
        <v>3490</v>
      </c>
      <c r="L10" s="123">
        <f t="shared" si="5"/>
        <v>202200</v>
      </c>
    </row>
    <row r="11" spans="1:13" ht="16" x14ac:dyDescent="0.15">
      <c r="A11" s="33">
        <v>8</v>
      </c>
      <c r="B11" s="27" t="s">
        <v>74</v>
      </c>
      <c r="C11" s="29">
        <f>VLOOKUP(B11,Pricing!$A$1:$O$281,8,FALSE)</f>
        <v>20</v>
      </c>
      <c r="D11" s="29">
        <f>VLOOKUP(B11,Pricing!$A$1:$O$281,10,FALSE)</f>
        <v>22400</v>
      </c>
      <c r="E11" s="29">
        <v>38000</v>
      </c>
      <c r="F11" s="29">
        <f t="shared" si="0"/>
        <v>15600</v>
      </c>
      <c r="G11" s="29">
        <f t="shared" si="1"/>
        <v>312000</v>
      </c>
      <c r="H11" s="29">
        <v>38000</v>
      </c>
      <c r="I11" s="30">
        <f t="shared" si="2"/>
        <v>15600</v>
      </c>
      <c r="J11" s="115">
        <f t="shared" si="3"/>
        <v>312000</v>
      </c>
      <c r="K11" s="117">
        <f t="shared" si="4"/>
        <v>3800</v>
      </c>
      <c r="L11" s="117">
        <f t="shared" si="5"/>
        <v>236000</v>
      </c>
    </row>
    <row r="12" spans="1:13" ht="16" x14ac:dyDescent="0.15">
      <c r="A12" s="33">
        <v>9</v>
      </c>
      <c r="B12" s="27" t="s">
        <v>75</v>
      </c>
      <c r="C12" s="29">
        <f>VLOOKUP(B12,Pricing!$A$1:$O$281,8,FALSE)</f>
        <v>20</v>
      </c>
      <c r="D12" s="29">
        <f>VLOOKUP(B12,Pricing!$A$1:$O$281,10,FALSE)</f>
        <v>24600</v>
      </c>
      <c r="E12" s="29">
        <v>42000</v>
      </c>
      <c r="F12" s="29">
        <f t="shared" si="0"/>
        <v>17400</v>
      </c>
      <c r="G12" s="29">
        <f t="shared" si="1"/>
        <v>348000</v>
      </c>
      <c r="H12" s="29">
        <v>41900</v>
      </c>
      <c r="I12" s="30">
        <f t="shared" si="2"/>
        <v>17300</v>
      </c>
      <c r="J12" s="115">
        <f t="shared" si="3"/>
        <v>346000</v>
      </c>
      <c r="K12" s="117">
        <f t="shared" si="4"/>
        <v>4190</v>
      </c>
      <c r="L12" s="117">
        <f t="shared" si="5"/>
        <v>262200</v>
      </c>
    </row>
    <row r="13" spans="1:13" ht="16" x14ac:dyDescent="0.15">
      <c r="A13" s="33">
        <v>10</v>
      </c>
      <c r="B13" s="27" t="s">
        <v>79</v>
      </c>
      <c r="C13" s="29">
        <f>VLOOKUP(B13,Pricing!$A$1:$O$281,8,FALSE)</f>
        <v>6</v>
      </c>
      <c r="D13" s="29">
        <f>VLOOKUP(B13,Pricing!$A$1:$O$281,10,FALSE)</f>
        <v>65083.333333333336</v>
      </c>
      <c r="E13" s="29">
        <v>80000</v>
      </c>
      <c r="F13" s="29">
        <f t="shared" si="0"/>
        <v>14916.666666666664</v>
      </c>
      <c r="G13" s="29">
        <f t="shared" si="1"/>
        <v>89499.999999999985</v>
      </c>
      <c r="H13" s="29">
        <v>80000</v>
      </c>
      <c r="I13" s="30">
        <f t="shared" si="2"/>
        <v>14916.666666666664</v>
      </c>
      <c r="J13" s="122">
        <f t="shared" si="3"/>
        <v>89499.999999999985</v>
      </c>
      <c r="K13" s="117">
        <f t="shared" si="4"/>
        <v>8000</v>
      </c>
      <c r="L13" s="123">
        <f t="shared" si="5"/>
        <v>41499.999999999985</v>
      </c>
    </row>
    <row r="14" spans="1:13" ht="16" x14ac:dyDescent="0.15">
      <c r="A14" s="33">
        <v>11</v>
      </c>
      <c r="B14" s="49" t="s">
        <v>104</v>
      </c>
      <c r="C14" s="29">
        <f>VLOOKUP(B14,Pricing!$A$1:$O$281,8,FALSE)</f>
        <v>10</v>
      </c>
      <c r="D14" s="29">
        <f>VLOOKUP(B14,Pricing!$A$1:$O$281,10,FALSE)</f>
        <v>15000</v>
      </c>
      <c r="E14" s="29">
        <v>22000</v>
      </c>
      <c r="F14" s="29">
        <f t="shared" si="0"/>
        <v>7000</v>
      </c>
      <c r="G14" s="29">
        <f t="shared" si="1"/>
        <v>70000</v>
      </c>
      <c r="H14" s="29">
        <v>22000</v>
      </c>
      <c r="I14" s="30">
        <f t="shared" si="2"/>
        <v>7000</v>
      </c>
      <c r="J14" s="115">
        <f t="shared" si="3"/>
        <v>70000</v>
      </c>
      <c r="K14" s="117">
        <f t="shared" si="4"/>
        <v>2200</v>
      </c>
      <c r="L14" s="117">
        <f t="shared" si="5"/>
        <v>48000</v>
      </c>
    </row>
    <row r="15" spans="1:13" ht="16" x14ac:dyDescent="0.15">
      <c r="A15" s="33">
        <v>12</v>
      </c>
      <c r="B15" s="27" t="s">
        <v>118</v>
      </c>
      <c r="C15" s="29">
        <f>VLOOKUP(B15,Pricing!$A$1:$O$281,8,FALSE)</f>
        <v>20</v>
      </c>
      <c r="D15" s="29">
        <f>VLOOKUP(B15,Pricing!$A$1:$O$281,10,FALSE)</f>
        <v>9000</v>
      </c>
      <c r="E15" s="29">
        <v>15000</v>
      </c>
      <c r="F15" s="29">
        <f t="shared" si="0"/>
        <v>6000</v>
      </c>
      <c r="G15" s="29">
        <f>C15*F15</f>
        <v>120000</v>
      </c>
      <c r="H15" s="29">
        <v>15000</v>
      </c>
      <c r="I15" s="30">
        <f t="shared" si="2"/>
        <v>6000</v>
      </c>
      <c r="J15" s="115">
        <f t="shared" si="3"/>
        <v>120000</v>
      </c>
      <c r="K15" s="117">
        <f t="shared" si="4"/>
        <v>1500</v>
      </c>
      <c r="L15" s="117">
        <f t="shared" si="5"/>
        <v>90000</v>
      </c>
    </row>
    <row r="16" spans="1:13" ht="16" x14ac:dyDescent="0.15">
      <c r="A16" s="33">
        <v>13</v>
      </c>
      <c r="B16" s="27" t="s">
        <v>119</v>
      </c>
      <c r="C16" s="29">
        <f>VLOOKUP(B16,Pricing!$A$1:$O$281,8,FALSE)</f>
        <v>30</v>
      </c>
      <c r="D16" s="29">
        <f>VLOOKUP(B16,Pricing!$A$1:$O$281,10,FALSE)</f>
        <v>10500</v>
      </c>
      <c r="E16" s="29">
        <v>15000</v>
      </c>
      <c r="F16" s="29">
        <f t="shared" si="0"/>
        <v>4500</v>
      </c>
      <c r="G16" s="29">
        <f t="shared" si="1"/>
        <v>135000</v>
      </c>
      <c r="H16" s="29">
        <v>14900</v>
      </c>
      <c r="I16" s="30">
        <f t="shared" si="2"/>
        <v>4400</v>
      </c>
      <c r="J16" s="115">
        <f t="shared" si="3"/>
        <v>132000</v>
      </c>
      <c r="K16" s="117">
        <f t="shared" si="4"/>
        <v>1490</v>
      </c>
      <c r="L16" s="117">
        <f t="shared" si="5"/>
        <v>87300</v>
      </c>
    </row>
    <row r="17" spans="1:13" ht="16" x14ac:dyDescent="0.15">
      <c r="A17" s="33">
        <v>14</v>
      </c>
      <c r="B17" s="27" t="s">
        <v>124</v>
      </c>
      <c r="C17" s="29">
        <f>VLOOKUP(B17,Pricing!$A$1:$O$281,8,FALSE)</f>
        <v>20</v>
      </c>
      <c r="D17" s="29">
        <f>VLOOKUP(B17,Pricing!$A$1:$O$281,10,FALSE)</f>
        <v>25250</v>
      </c>
      <c r="E17" s="29">
        <v>38000</v>
      </c>
      <c r="F17" s="29">
        <f t="shared" si="0"/>
        <v>12750</v>
      </c>
      <c r="G17" s="29">
        <f t="shared" si="1"/>
        <v>255000</v>
      </c>
      <c r="H17" s="29">
        <v>37900</v>
      </c>
      <c r="I17" s="30">
        <f t="shared" si="2"/>
        <v>12650</v>
      </c>
      <c r="J17" s="115">
        <f t="shared" si="3"/>
        <v>253000</v>
      </c>
      <c r="K17" s="117">
        <f t="shared" si="4"/>
        <v>3790</v>
      </c>
      <c r="L17" s="117">
        <f t="shared" si="5"/>
        <v>177200</v>
      </c>
    </row>
    <row r="18" spans="1:13" ht="16" x14ac:dyDescent="0.15">
      <c r="A18" s="33">
        <v>15</v>
      </c>
      <c r="B18" s="27" t="s">
        <v>115</v>
      </c>
      <c r="C18" s="29">
        <f>VLOOKUP(B18,Pricing!$A$1:$O$281,8,FALSE)</f>
        <v>48</v>
      </c>
      <c r="D18" s="29">
        <f>VLOOKUP(B18,Pricing!$A$1:$O$281,10,FALSE)</f>
        <v>7854.166666666667</v>
      </c>
      <c r="E18" s="29">
        <v>9000</v>
      </c>
      <c r="F18" s="29">
        <f t="shared" si="0"/>
        <v>1145.833333333333</v>
      </c>
      <c r="G18" s="29">
        <f t="shared" si="1"/>
        <v>54999.999999999985</v>
      </c>
      <c r="H18" s="29">
        <v>9000</v>
      </c>
      <c r="I18" s="30">
        <f t="shared" si="2"/>
        <v>1145.833333333333</v>
      </c>
      <c r="J18" s="115">
        <f t="shared" si="3"/>
        <v>54999.999999999985</v>
      </c>
      <c r="K18" s="117">
        <f t="shared" si="4"/>
        <v>900</v>
      </c>
      <c r="L18" s="117">
        <f t="shared" si="5"/>
        <v>11799.999999999985</v>
      </c>
      <c r="M18" s="54"/>
    </row>
    <row r="19" spans="1:13" ht="16" x14ac:dyDescent="0.15">
      <c r="A19" s="33">
        <v>16</v>
      </c>
      <c r="B19" s="49" t="s">
        <v>154</v>
      </c>
      <c r="C19" s="29">
        <f>VLOOKUP(B19,Pricing!$A$1:$O$281,8,FALSE)</f>
        <v>40</v>
      </c>
      <c r="D19" s="29">
        <f>VLOOKUP(B19,Pricing!$A$1:$O$281,10,FALSE)</f>
        <v>28975</v>
      </c>
      <c r="E19" s="29">
        <v>42000</v>
      </c>
      <c r="F19" s="29">
        <f t="shared" si="0"/>
        <v>13025</v>
      </c>
      <c r="G19" s="29">
        <f t="shared" si="1"/>
        <v>521000</v>
      </c>
      <c r="H19" s="29">
        <v>42000</v>
      </c>
      <c r="I19" s="30">
        <f t="shared" si="2"/>
        <v>13025</v>
      </c>
      <c r="J19" s="115">
        <f t="shared" si="3"/>
        <v>521000</v>
      </c>
      <c r="K19" s="117">
        <f t="shared" si="4"/>
        <v>4200</v>
      </c>
      <c r="L19" s="117">
        <f t="shared" si="5"/>
        <v>353000</v>
      </c>
    </row>
    <row r="20" spans="1:13" ht="16" x14ac:dyDescent="0.15">
      <c r="A20" s="33">
        <v>17</v>
      </c>
      <c r="B20" s="49" t="s">
        <v>157</v>
      </c>
      <c r="C20" s="29">
        <f>VLOOKUP(B20,Pricing!$A$1:$O$281,8,FALSE)</f>
        <v>50</v>
      </c>
      <c r="D20" s="29">
        <f>VLOOKUP(B20,Pricing!$A$1:$O$281,10,FALSE)</f>
        <v>14600</v>
      </c>
      <c r="E20" s="29">
        <v>24000</v>
      </c>
      <c r="F20" s="29">
        <f t="shared" si="0"/>
        <v>9400</v>
      </c>
      <c r="G20" s="29">
        <f t="shared" si="1"/>
        <v>470000</v>
      </c>
      <c r="H20" s="29">
        <v>24900</v>
      </c>
      <c r="I20" s="30">
        <f t="shared" si="2"/>
        <v>10300</v>
      </c>
      <c r="J20" s="115">
        <f t="shared" si="3"/>
        <v>515000</v>
      </c>
      <c r="K20" s="117">
        <f t="shared" si="4"/>
        <v>2490</v>
      </c>
      <c r="L20" s="117">
        <f t="shared" si="5"/>
        <v>390500</v>
      </c>
    </row>
    <row r="21" spans="1:13" ht="16" x14ac:dyDescent="0.15">
      <c r="A21" s="33">
        <v>18</v>
      </c>
      <c r="B21" s="49" t="s">
        <v>158</v>
      </c>
      <c r="C21" s="29">
        <f>VLOOKUP(B21,Pricing!$A$1:$O$281,8,FALSE)</f>
        <v>80</v>
      </c>
      <c r="D21" s="29">
        <f>VLOOKUP(B21,Pricing!$A$1:$O$281,10,FALSE)</f>
        <v>10725</v>
      </c>
      <c r="E21" s="29">
        <v>21000</v>
      </c>
      <c r="F21" s="29">
        <f t="shared" si="0"/>
        <v>10275</v>
      </c>
      <c r="G21" s="29">
        <f t="shared" si="1"/>
        <v>822000</v>
      </c>
      <c r="H21" s="29">
        <v>20500</v>
      </c>
      <c r="I21" s="30">
        <f t="shared" si="2"/>
        <v>9775</v>
      </c>
      <c r="J21" s="115">
        <f t="shared" si="3"/>
        <v>782000</v>
      </c>
      <c r="K21" s="117">
        <f t="shared" si="4"/>
        <v>2050</v>
      </c>
      <c r="L21" s="117">
        <f t="shared" si="5"/>
        <v>618000</v>
      </c>
    </row>
    <row r="22" spans="1:13" ht="16" x14ac:dyDescent="0.15">
      <c r="A22" s="33">
        <v>19</v>
      </c>
      <c r="B22" s="49" t="s">
        <v>168</v>
      </c>
      <c r="C22" s="29">
        <f>VLOOKUP(B22,Pricing!$A$1:$O$281,8,FALSE)</f>
        <v>36</v>
      </c>
      <c r="D22" s="29">
        <f>VLOOKUP(B22,Pricing!$A$1:$O$281,10,FALSE)</f>
        <v>14722.222222222223</v>
      </c>
      <c r="E22" s="29">
        <v>20000</v>
      </c>
      <c r="F22" s="29">
        <f t="shared" si="0"/>
        <v>5277.7777777777774</v>
      </c>
      <c r="G22" s="29">
        <f t="shared" si="1"/>
        <v>190000</v>
      </c>
      <c r="H22" s="29">
        <v>19900</v>
      </c>
      <c r="I22" s="30">
        <f t="shared" si="2"/>
        <v>5177.7777777777774</v>
      </c>
      <c r="J22" s="115">
        <f t="shared" si="3"/>
        <v>186400</v>
      </c>
      <c r="K22" s="117">
        <f t="shared" si="4"/>
        <v>1990</v>
      </c>
      <c r="L22" s="117">
        <f t="shared" si="5"/>
        <v>114760</v>
      </c>
    </row>
    <row r="23" spans="1:13" ht="16" x14ac:dyDescent="0.15">
      <c r="A23" s="33">
        <v>20</v>
      </c>
      <c r="B23" s="49" t="s">
        <v>170</v>
      </c>
      <c r="C23" s="29">
        <f>VLOOKUP(B23,Pricing!$A$1:$O$281,8,FALSE)</f>
        <v>30</v>
      </c>
      <c r="D23" s="29">
        <f>VLOOKUP(B23,Pricing!$A$1:$O$281,10,FALSE)</f>
        <v>1333.3333333333333</v>
      </c>
      <c r="E23" s="29">
        <v>5000</v>
      </c>
      <c r="F23" s="29">
        <f t="shared" si="0"/>
        <v>3666.666666666667</v>
      </c>
      <c r="G23" s="29">
        <f t="shared" si="1"/>
        <v>110000.00000000001</v>
      </c>
      <c r="H23" s="29"/>
      <c r="I23" s="30">
        <f t="shared" si="2"/>
        <v>-1333.3333333333333</v>
      </c>
      <c r="J23" s="115">
        <f t="shared" si="3"/>
        <v>-40000</v>
      </c>
      <c r="K23" s="117">
        <f t="shared" si="4"/>
        <v>0</v>
      </c>
      <c r="L23" s="117">
        <f t="shared" si="5"/>
        <v>-40000</v>
      </c>
    </row>
    <row r="24" spans="1:13" ht="16" x14ac:dyDescent="0.15">
      <c r="A24" s="33">
        <v>21</v>
      </c>
      <c r="B24" s="49" t="s">
        <v>171</v>
      </c>
      <c r="C24" s="29">
        <f>VLOOKUP(B24,Pricing!$A$1:$O$281,8,FALSE)</f>
        <v>30</v>
      </c>
      <c r="D24" s="29">
        <f>VLOOKUP(B24,Pricing!$A$1:$O$281,10,FALSE)</f>
        <v>1500</v>
      </c>
      <c r="E24" s="29">
        <v>6000</v>
      </c>
      <c r="F24" s="29">
        <f t="shared" si="0"/>
        <v>4500</v>
      </c>
      <c r="G24" s="29">
        <f t="shared" si="1"/>
        <v>135000</v>
      </c>
      <c r="H24" s="29"/>
      <c r="I24" s="30">
        <f t="shared" si="2"/>
        <v>-1500</v>
      </c>
      <c r="J24" s="115">
        <f t="shared" si="3"/>
        <v>-45000</v>
      </c>
      <c r="K24" s="117">
        <f t="shared" si="4"/>
        <v>0</v>
      </c>
      <c r="L24" s="117">
        <f t="shared" si="5"/>
        <v>-45000</v>
      </c>
    </row>
    <row r="25" spans="1:13" ht="16" x14ac:dyDescent="0.15">
      <c r="A25" s="33">
        <v>22</v>
      </c>
      <c r="B25" s="6" t="s">
        <v>185</v>
      </c>
      <c r="C25" s="29">
        <f>VLOOKUP(B25,Pricing!$A$1:$O$281,8,FALSE)</f>
        <v>10</v>
      </c>
      <c r="D25" s="29">
        <f>VLOOKUP(B25,Pricing!$A$1:$O$281,10,FALSE)</f>
        <v>4850</v>
      </c>
      <c r="E25" s="29">
        <v>9000</v>
      </c>
      <c r="F25" s="29">
        <f t="shared" si="0"/>
        <v>4150</v>
      </c>
      <c r="G25" s="29">
        <f t="shared" si="1"/>
        <v>41500</v>
      </c>
      <c r="H25" s="29">
        <v>9000</v>
      </c>
      <c r="I25" s="30">
        <f t="shared" si="2"/>
        <v>4150</v>
      </c>
      <c r="J25" s="115">
        <f t="shared" si="3"/>
        <v>41500</v>
      </c>
      <c r="K25" s="117">
        <f t="shared" si="4"/>
        <v>900</v>
      </c>
      <c r="L25" s="117">
        <f t="shared" si="5"/>
        <v>32500</v>
      </c>
    </row>
    <row r="26" spans="1:13" ht="16" x14ac:dyDescent="0.15">
      <c r="A26" s="33">
        <v>23</v>
      </c>
      <c r="B26" s="6" t="s">
        <v>187</v>
      </c>
      <c r="C26" s="29">
        <f>VLOOKUP(B26,Pricing!$A$1:$O$281,8,FALSE)</f>
        <v>10</v>
      </c>
      <c r="D26" s="29">
        <f>VLOOKUP(B26,Pricing!$A$1:$O$281,10,FALSE)</f>
        <v>7700</v>
      </c>
      <c r="E26" s="29">
        <v>15000</v>
      </c>
      <c r="F26" s="29">
        <f t="shared" si="0"/>
        <v>7300</v>
      </c>
      <c r="G26" s="29">
        <f t="shared" si="1"/>
        <v>73000</v>
      </c>
      <c r="H26" s="29">
        <v>15000</v>
      </c>
      <c r="I26" s="30">
        <f t="shared" si="2"/>
        <v>7300</v>
      </c>
      <c r="J26" s="115">
        <f t="shared" si="3"/>
        <v>73000</v>
      </c>
      <c r="K26" s="117">
        <f t="shared" si="4"/>
        <v>1500</v>
      </c>
      <c r="L26" s="117">
        <f t="shared" si="5"/>
        <v>58000</v>
      </c>
    </row>
    <row r="27" spans="1:13" ht="16" x14ac:dyDescent="0.15">
      <c r="A27" s="33">
        <v>24</v>
      </c>
      <c r="B27" s="6" t="s">
        <v>188</v>
      </c>
      <c r="C27" s="29">
        <f>VLOOKUP(B27,Pricing!$A$1:$O$281,8,FALSE)</f>
        <v>10</v>
      </c>
      <c r="D27" s="29">
        <f>VLOOKUP(B27,Pricing!$A$1:$O$281,10,FALSE)</f>
        <v>10500</v>
      </c>
      <c r="E27" s="29">
        <v>21000</v>
      </c>
      <c r="F27" s="29">
        <f t="shared" si="0"/>
        <v>10500</v>
      </c>
      <c r="G27" s="29">
        <f t="shared" si="1"/>
        <v>105000</v>
      </c>
      <c r="H27" s="29">
        <v>21000</v>
      </c>
      <c r="I27" s="30">
        <f t="shared" si="2"/>
        <v>10500</v>
      </c>
      <c r="J27" s="115">
        <f t="shared" si="3"/>
        <v>105000</v>
      </c>
      <c r="K27" s="117">
        <f t="shared" si="4"/>
        <v>2100</v>
      </c>
      <c r="L27" s="117">
        <f t="shared" si="5"/>
        <v>84000</v>
      </c>
    </row>
    <row r="28" spans="1:13" ht="16" x14ac:dyDescent="0.15">
      <c r="A28" s="33">
        <v>25</v>
      </c>
      <c r="B28" s="6" t="s">
        <v>189</v>
      </c>
      <c r="C28" s="29">
        <f>VLOOKUP(B28,Pricing!$A$1:$O$281,8,FALSE)</f>
        <v>10</v>
      </c>
      <c r="D28" s="29">
        <f>VLOOKUP(B28,Pricing!$A$1:$O$281,10,FALSE)</f>
        <v>12500</v>
      </c>
      <c r="E28" s="29">
        <v>25000</v>
      </c>
      <c r="F28" s="29">
        <f t="shared" si="0"/>
        <v>12500</v>
      </c>
      <c r="G28" s="29">
        <f t="shared" si="1"/>
        <v>125000</v>
      </c>
      <c r="H28" s="29">
        <v>25000</v>
      </c>
      <c r="I28" s="30">
        <f t="shared" si="2"/>
        <v>12500</v>
      </c>
      <c r="J28" s="115">
        <f t="shared" si="3"/>
        <v>125000</v>
      </c>
      <c r="K28" s="117">
        <f t="shared" si="4"/>
        <v>2500</v>
      </c>
      <c r="L28" s="117">
        <f t="shared" si="5"/>
        <v>100000</v>
      </c>
    </row>
    <row r="29" spans="1:13" ht="16" x14ac:dyDescent="0.15">
      <c r="A29" s="33">
        <v>26</v>
      </c>
      <c r="B29" s="6" t="s">
        <v>190</v>
      </c>
      <c r="C29" s="29">
        <f>VLOOKUP(B29,Pricing!$A$1:$O$281,8,FALSE)</f>
        <v>10</v>
      </c>
      <c r="D29" s="29">
        <f>VLOOKUP(B29,Pricing!$A$1:$O$281,10,FALSE)</f>
        <v>17100</v>
      </c>
      <c r="E29" s="29">
        <v>30000</v>
      </c>
      <c r="F29" s="29">
        <f t="shared" si="0"/>
        <v>12900</v>
      </c>
      <c r="G29" s="29">
        <f t="shared" si="1"/>
        <v>129000</v>
      </c>
      <c r="H29" s="29">
        <v>30000</v>
      </c>
      <c r="I29" s="30">
        <f t="shared" si="2"/>
        <v>12900</v>
      </c>
      <c r="J29" s="115">
        <f t="shared" si="3"/>
        <v>129000</v>
      </c>
      <c r="K29" s="117">
        <f t="shared" si="4"/>
        <v>3000</v>
      </c>
      <c r="L29" s="117">
        <f t="shared" si="5"/>
        <v>99000</v>
      </c>
    </row>
    <row r="30" spans="1:13" ht="16" x14ac:dyDescent="0.15">
      <c r="A30" s="33">
        <v>27</v>
      </c>
      <c r="B30" s="6" t="s">
        <v>201</v>
      </c>
      <c r="C30" s="29">
        <f>VLOOKUP(B30,Pricing!$A$1:$O$281,8,FALSE)/2</f>
        <v>34.5</v>
      </c>
      <c r="D30" s="29">
        <f>VLOOKUP(B30,Pricing!$A$1:$O$281,10,FALSE)</f>
        <v>24268.115942028984</v>
      </c>
      <c r="E30" s="29">
        <v>40000</v>
      </c>
      <c r="F30" s="29">
        <f t="shared" si="0"/>
        <v>15731.884057971016</v>
      </c>
      <c r="G30" s="29">
        <f t="shared" si="1"/>
        <v>542750</v>
      </c>
      <c r="H30" s="29"/>
      <c r="I30" s="30">
        <f t="shared" si="2"/>
        <v>-24268.115942028984</v>
      </c>
      <c r="J30" s="115">
        <f t="shared" si="3"/>
        <v>-837250</v>
      </c>
      <c r="K30" s="117">
        <f t="shared" si="4"/>
        <v>0</v>
      </c>
      <c r="L30" s="117">
        <f t="shared" si="5"/>
        <v>-837250</v>
      </c>
    </row>
    <row r="31" spans="1:13" ht="16" x14ac:dyDescent="0.15">
      <c r="A31" s="33">
        <v>28</v>
      </c>
      <c r="B31" s="34" t="s">
        <v>204</v>
      </c>
      <c r="C31" s="29">
        <f>10*VLOOKUP(B31,Pricing!$A$1:$O$281,8,FALSE)</f>
        <v>50</v>
      </c>
      <c r="D31" s="29">
        <f>VLOOKUP(B31,Pricing!$A$1:$O$281,10,FALSE)</f>
        <v>39000</v>
      </c>
      <c r="E31" s="29">
        <v>65000</v>
      </c>
      <c r="F31" s="29">
        <f t="shared" si="0"/>
        <v>26000</v>
      </c>
      <c r="G31" s="29">
        <f t="shared" si="1"/>
        <v>1300000</v>
      </c>
      <c r="H31" s="29"/>
      <c r="I31" s="30">
        <f t="shared" si="2"/>
        <v>-39000</v>
      </c>
      <c r="J31" s="115">
        <f t="shared" si="3"/>
        <v>-1950000</v>
      </c>
      <c r="K31" s="117">
        <f t="shared" si="4"/>
        <v>0</v>
      </c>
      <c r="L31" s="117">
        <f t="shared" si="5"/>
        <v>-1950000</v>
      </c>
    </row>
    <row r="32" spans="1:13" ht="16" x14ac:dyDescent="0.15">
      <c r="A32" s="33">
        <v>29</v>
      </c>
      <c r="B32" s="49" t="s">
        <v>205</v>
      </c>
      <c r="C32" s="29">
        <f>10*VLOOKUP(B32,Pricing!$A$1:$O$281,8,FALSE)</f>
        <v>50</v>
      </c>
      <c r="D32" s="29">
        <f>VLOOKUP(B32,Pricing!$A$1:$O$281,10,FALSE)</f>
        <v>55000</v>
      </c>
      <c r="E32" s="29">
        <v>85000</v>
      </c>
      <c r="F32" s="29">
        <f t="shared" si="0"/>
        <v>30000</v>
      </c>
      <c r="G32" s="29">
        <f t="shared" si="1"/>
        <v>1500000</v>
      </c>
      <c r="H32" s="29"/>
      <c r="I32" s="30">
        <f t="shared" si="2"/>
        <v>-55000</v>
      </c>
      <c r="J32" s="115">
        <f t="shared" si="3"/>
        <v>-2750000</v>
      </c>
      <c r="K32" s="117">
        <f t="shared" si="4"/>
        <v>0</v>
      </c>
      <c r="L32" s="117">
        <f t="shared" si="5"/>
        <v>-2750000</v>
      </c>
    </row>
    <row r="33" spans="1:12" x14ac:dyDescent="0.15">
      <c r="A33" s="33">
        <v>30</v>
      </c>
      <c r="B33" s="11" t="s">
        <v>225</v>
      </c>
      <c r="C33" s="29">
        <f>5*VLOOKUP(B33,Pricing!$A$1:$O$281,8,FALSE)</f>
        <v>50</v>
      </c>
      <c r="D33" s="29">
        <f>VLOOKUP(B33,Pricing!$A$1:$O$281,10,FALSE)</f>
        <v>1700</v>
      </c>
      <c r="E33" s="29">
        <v>2500</v>
      </c>
      <c r="F33" s="29">
        <f t="shared" si="0"/>
        <v>800</v>
      </c>
      <c r="G33" s="29">
        <f t="shared" si="1"/>
        <v>40000</v>
      </c>
      <c r="H33" s="29"/>
      <c r="I33" s="30">
        <f t="shared" si="2"/>
        <v>-1700</v>
      </c>
      <c r="J33" s="115">
        <f t="shared" si="3"/>
        <v>-85000</v>
      </c>
      <c r="K33" s="117">
        <f t="shared" si="4"/>
        <v>0</v>
      </c>
      <c r="L33" s="117">
        <f t="shared" si="5"/>
        <v>-85000</v>
      </c>
    </row>
    <row r="34" spans="1:12" x14ac:dyDescent="0.15">
      <c r="A34" s="33">
        <v>31</v>
      </c>
      <c r="B34" s="11" t="s">
        <v>228</v>
      </c>
      <c r="C34" s="29">
        <f>5*VLOOKUP(B34,Pricing!$A$1:$O$281,8,FALSE)</f>
        <v>50</v>
      </c>
      <c r="D34" s="29">
        <f>VLOOKUP(B34,Pricing!$A$1:$O$281,10,FALSE)</f>
        <v>2000</v>
      </c>
      <c r="E34" s="29">
        <v>3000</v>
      </c>
      <c r="F34" s="29">
        <f t="shared" si="0"/>
        <v>1000</v>
      </c>
      <c r="G34" s="29">
        <f t="shared" ref="G34:G40" si="6">C34*F34</f>
        <v>50000</v>
      </c>
      <c r="H34" s="29"/>
      <c r="I34" s="30">
        <f t="shared" si="2"/>
        <v>-2000</v>
      </c>
      <c r="J34" s="115">
        <f t="shared" si="3"/>
        <v>-100000</v>
      </c>
      <c r="K34" s="117">
        <f t="shared" si="4"/>
        <v>0</v>
      </c>
      <c r="L34" s="117">
        <f t="shared" si="5"/>
        <v>-100000</v>
      </c>
    </row>
    <row r="35" spans="1:12" x14ac:dyDescent="0.15">
      <c r="A35" s="33">
        <v>32</v>
      </c>
      <c r="B35" s="11" t="s">
        <v>230</v>
      </c>
      <c r="C35" s="29">
        <f>5*VLOOKUP(B35,Pricing!$A$1:$O$281,8,FALSE)</f>
        <v>50</v>
      </c>
      <c r="D35" s="29">
        <f>VLOOKUP(B35,Pricing!$A$1:$O$281,10,FALSE)</f>
        <v>3000</v>
      </c>
      <c r="E35" s="29">
        <f t="shared" ref="E35:E41" si="7">D35*$E$3</f>
        <v>4500</v>
      </c>
      <c r="F35" s="29">
        <f t="shared" si="0"/>
        <v>1500</v>
      </c>
      <c r="G35" s="29">
        <f t="shared" si="6"/>
        <v>75000</v>
      </c>
      <c r="H35" s="29"/>
      <c r="I35" s="30">
        <f t="shared" si="2"/>
        <v>-3000</v>
      </c>
      <c r="J35" s="115">
        <f t="shared" si="3"/>
        <v>-150000</v>
      </c>
      <c r="K35" s="117">
        <f t="shared" si="4"/>
        <v>0</v>
      </c>
      <c r="L35" s="117">
        <f t="shared" si="5"/>
        <v>-150000</v>
      </c>
    </row>
    <row r="36" spans="1:12" x14ac:dyDescent="0.15">
      <c r="A36" s="33">
        <v>33</v>
      </c>
      <c r="B36" s="11" t="s">
        <v>233</v>
      </c>
      <c r="C36" s="29">
        <f>2*VLOOKUP(B36,Pricing!$A$1:$O$281,8,FALSE)</f>
        <v>20</v>
      </c>
      <c r="D36" s="29">
        <f>VLOOKUP(B36,Pricing!$A$1:$O$281,10,FALSE)</f>
        <v>3000</v>
      </c>
      <c r="E36" s="29">
        <f t="shared" si="7"/>
        <v>4500</v>
      </c>
      <c r="F36" s="29">
        <f t="shared" si="0"/>
        <v>1500</v>
      </c>
      <c r="G36" s="29">
        <f t="shared" si="6"/>
        <v>30000</v>
      </c>
      <c r="H36" s="29"/>
      <c r="I36" s="30">
        <f t="shared" si="2"/>
        <v>-3000</v>
      </c>
      <c r="J36" s="115">
        <f t="shared" si="3"/>
        <v>-60000</v>
      </c>
      <c r="K36" s="117">
        <f t="shared" si="4"/>
        <v>0</v>
      </c>
      <c r="L36" s="117">
        <f t="shared" si="5"/>
        <v>-60000</v>
      </c>
    </row>
    <row r="37" spans="1:12" x14ac:dyDescent="0.15">
      <c r="A37" s="33">
        <v>34</v>
      </c>
      <c r="B37" s="11" t="s">
        <v>218</v>
      </c>
      <c r="C37" s="29">
        <f>2*VLOOKUP(B37,Pricing!$A$1:$O$281,8,FALSE)</f>
        <v>20</v>
      </c>
      <c r="D37" s="29">
        <f>VLOOKUP(B37,Pricing!$A$1:$O$281,10,FALSE)</f>
        <v>8500</v>
      </c>
      <c r="E37" s="29">
        <v>12500</v>
      </c>
      <c r="F37" s="29">
        <f t="shared" si="0"/>
        <v>4000</v>
      </c>
      <c r="G37" s="29">
        <f t="shared" si="6"/>
        <v>80000</v>
      </c>
      <c r="H37" s="29"/>
      <c r="I37" s="30">
        <f t="shared" si="2"/>
        <v>-8500</v>
      </c>
      <c r="J37" s="115">
        <f t="shared" si="3"/>
        <v>-170000</v>
      </c>
      <c r="K37" s="117">
        <f t="shared" si="4"/>
        <v>0</v>
      </c>
      <c r="L37" s="117">
        <f t="shared" si="5"/>
        <v>-170000</v>
      </c>
    </row>
    <row r="38" spans="1:12" x14ac:dyDescent="0.15">
      <c r="A38" s="33">
        <v>35</v>
      </c>
      <c r="B38" s="11" t="s">
        <v>239</v>
      </c>
      <c r="C38" s="29">
        <f>2*VLOOKUP(B38,Pricing!$A$1:$O$281,8,FALSE)</f>
        <v>20</v>
      </c>
      <c r="D38" s="29">
        <f>VLOOKUP(B38,Pricing!$A$1:$O$281,10,FALSE)</f>
        <v>4300</v>
      </c>
      <c r="E38" s="29">
        <v>6500</v>
      </c>
      <c r="F38" s="29">
        <f t="shared" si="0"/>
        <v>2200</v>
      </c>
      <c r="G38" s="29">
        <f t="shared" si="6"/>
        <v>44000</v>
      </c>
      <c r="H38" s="29"/>
      <c r="I38" s="30">
        <f t="shared" si="2"/>
        <v>-4300</v>
      </c>
      <c r="J38" s="115">
        <f t="shared" si="3"/>
        <v>-86000</v>
      </c>
      <c r="K38" s="117">
        <f t="shared" si="4"/>
        <v>0</v>
      </c>
      <c r="L38" s="117">
        <f t="shared" si="5"/>
        <v>-86000</v>
      </c>
    </row>
    <row r="39" spans="1:12" x14ac:dyDescent="0.15">
      <c r="A39" s="33">
        <v>36</v>
      </c>
      <c r="B39" s="11" t="s">
        <v>242</v>
      </c>
      <c r="C39" s="29">
        <f>2*VLOOKUP(B39,Pricing!$A$1:$O$281,8,FALSE)</f>
        <v>20</v>
      </c>
      <c r="D39" s="29">
        <f>VLOOKUP(B39,Pricing!$A$1:$O$281,10,FALSE)</f>
        <v>4200</v>
      </c>
      <c r="E39" s="29">
        <v>6500</v>
      </c>
      <c r="F39" s="29">
        <f t="shared" si="0"/>
        <v>2300</v>
      </c>
      <c r="G39" s="29">
        <f t="shared" si="6"/>
        <v>46000</v>
      </c>
      <c r="H39" s="29"/>
      <c r="I39" s="30">
        <f t="shared" si="2"/>
        <v>-4200</v>
      </c>
      <c r="J39" s="115">
        <f t="shared" si="3"/>
        <v>-84000</v>
      </c>
      <c r="K39" s="117">
        <f t="shared" si="4"/>
        <v>0</v>
      </c>
      <c r="L39" s="117">
        <f t="shared" si="5"/>
        <v>-84000</v>
      </c>
    </row>
    <row r="40" spans="1:12" x14ac:dyDescent="0.15">
      <c r="A40" s="33">
        <v>37</v>
      </c>
      <c r="B40" s="11" t="s">
        <v>245</v>
      </c>
      <c r="C40" s="29">
        <f>2*VLOOKUP(B40,Pricing!$A$1:$O$281,8,FALSE)</f>
        <v>20</v>
      </c>
      <c r="D40" s="29">
        <f>VLOOKUP(B40,Pricing!$A$1:$O$281,10,FALSE)</f>
        <v>5000</v>
      </c>
      <c r="E40" s="29">
        <f t="shared" si="7"/>
        <v>7500</v>
      </c>
      <c r="F40" s="29">
        <f t="shared" si="0"/>
        <v>2500</v>
      </c>
      <c r="G40" s="29">
        <f t="shared" si="6"/>
        <v>50000</v>
      </c>
      <c r="H40" s="29"/>
      <c r="I40" s="30">
        <f t="shared" si="2"/>
        <v>-5000</v>
      </c>
      <c r="J40" s="115">
        <f t="shared" si="3"/>
        <v>-100000</v>
      </c>
      <c r="K40" s="117">
        <f t="shared" si="4"/>
        <v>0</v>
      </c>
      <c r="L40" s="117">
        <f t="shared" si="5"/>
        <v>-100000</v>
      </c>
    </row>
    <row r="41" spans="1:12" x14ac:dyDescent="0.15">
      <c r="A41" s="103"/>
      <c r="B41" s="103"/>
      <c r="C41" s="103"/>
      <c r="D41" s="104"/>
      <c r="E41" s="29">
        <f t="shared" si="7"/>
        <v>0</v>
      </c>
      <c r="F41" s="104"/>
      <c r="G41" s="104"/>
      <c r="H41" s="29">
        <f t="shared" ref="H41" si="8">D41*$H$3</f>
        <v>0</v>
      </c>
      <c r="I41" s="103"/>
      <c r="J41" s="114"/>
      <c r="K41" s="117">
        <f t="shared" si="4"/>
        <v>0</v>
      </c>
      <c r="L41" s="117">
        <f t="shared" si="5"/>
        <v>0</v>
      </c>
    </row>
    <row r="42" spans="1:12" x14ac:dyDescent="0.15">
      <c r="A42" s="33">
        <v>38</v>
      </c>
      <c r="B42" s="118" t="s">
        <v>292</v>
      </c>
      <c r="C42" s="105">
        <v>80</v>
      </c>
      <c r="D42" s="105">
        <f>607200/C42</f>
        <v>7590</v>
      </c>
      <c r="E42" s="29">
        <v>13000</v>
      </c>
      <c r="F42" s="105">
        <f>E42-D42</f>
        <v>5410</v>
      </c>
      <c r="G42" s="105">
        <f>F42*C42</f>
        <v>432800</v>
      </c>
      <c r="H42" s="29">
        <v>11000</v>
      </c>
      <c r="I42" s="30">
        <f t="shared" ref="I42:I52" si="9">D42*$I$3</f>
        <v>0</v>
      </c>
      <c r="J42" s="113">
        <v>12500</v>
      </c>
      <c r="K42" s="117">
        <f t="shared" si="4"/>
        <v>1100</v>
      </c>
      <c r="L42" s="117">
        <f t="shared" si="5"/>
        <v>-75500</v>
      </c>
    </row>
    <row r="43" spans="1:12" x14ac:dyDescent="0.15">
      <c r="A43" s="33">
        <v>39</v>
      </c>
      <c r="B43" s="118" t="s">
        <v>293</v>
      </c>
      <c r="C43" s="105">
        <v>140</v>
      </c>
      <c r="D43" s="105">
        <f>571550/C43</f>
        <v>4082.5</v>
      </c>
      <c r="E43" s="29">
        <v>8000</v>
      </c>
      <c r="F43" s="105">
        <f>E43-D43</f>
        <v>3917.5</v>
      </c>
      <c r="G43" s="105">
        <f>C43*F43</f>
        <v>548450</v>
      </c>
      <c r="H43" s="29">
        <v>6500</v>
      </c>
      <c r="I43" s="30">
        <f t="shared" si="9"/>
        <v>0</v>
      </c>
      <c r="J43" s="113">
        <v>8000</v>
      </c>
      <c r="K43" s="117">
        <f t="shared" si="4"/>
        <v>650</v>
      </c>
      <c r="L43" s="117">
        <f t="shared" si="5"/>
        <v>-83000</v>
      </c>
    </row>
    <row r="44" spans="1:12" x14ac:dyDescent="0.15">
      <c r="A44" s="33">
        <v>40</v>
      </c>
      <c r="B44" s="100" t="s">
        <v>294</v>
      </c>
      <c r="C44" s="105">
        <f>1000/50</f>
        <v>20</v>
      </c>
      <c r="D44" s="105">
        <f>175000/C44</f>
        <v>8750</v>
      </c>
      <c r="E44" s="29">
        <v>13000</v>
      </c>
      <c r="F44" s="105">
        <f>E44-D44</f>
        <v>4250</v>
      </c>
      <c r="G44" s="105">
        <f>C44*F44</f>
        <v>85000</v>
      </c>
      <c r="H44" s="29"/>
      <c r="I44" s="30">
        <f t="shared" si="9"/>
        <v>0</v>
      </c>
      <c r="J44" s="113">
        <v>12500</v>
      </c>
      <c r="K44" s="117">
        <f t="shared" si="4"/>
        <v>0</v>
      </c>
      <c r="L44" s="117">
        <f t="shared" si="5"/>
        <v>12500</v>
      </c>
    </row>
    <row r="45" spans="1:12" x14ac:dyDescent="0.15">
      <c r="A45" s="33">
        <v>41</v>
      </c>
      <c r="B45" s="100" t="s">
        <v>295</v>
      </c>
      <c r="C45" s="105">
        <f>2000/100</f>
        <v>20</v>
      </c>
      <c r="D45" s="105">
        <f>170000/C45</f>
        <v>8500</v>
      </c>
      <c r="E45" s="29">
        <v>12500</v>
      </c>
      <c r="F45" s="105">
        <f t="shared" ref="F45:F52" si="10">E45-D45</f>
        <v>4000</v>
      </c>
      <c r="G45" s="105">
        <f t="shared" ref="G45:G52" si="11">C45*F45</f>
        <v>80000</v>
      </c>
      <c r="H45" s="29"/>
      <c r="I45" s="30">
        <f t="shared" si="9"/>
        <v>0</v>
      </c>
      <c r="J45" s="113">
        <v>12500</v>
      </c>
      <c r="K45" s="117">
        <f t="shared" si="4"/>
        <v>0</v>
      </c>
      <c r="L45" s="117">
        <f t="shared" si="5"/>
        <v>12500</v>
      </c>
    </row>
    <row r="46" spans="1:12" x14ac:dyDescent="0.15">
      <c r="A46" s="33">
        <v>42</v>
      </c>
      <c r="B46" s="100" t="s">
        <v>296</v>
      </c>
      <c r="C46" s="105">
        <v>150</v>
      </c>
      <c r="D46" s="105">
        <f>300000/C46</f>
        <v>2000</v>
      </c>
      <c r="E46" s="29">
        <v>5000</v>
      </c>
      <c r="F46" s="105">
        <f t="shared" si="10"/>
        <v>3000</v>
      </c>
      <c r="G46" s="105">
        <f t="shared" si="11"/>
        <v>450000</v>
      </c>
      <c r="H46" s="29"/>
      <c r="I46" s="30">
        <f t="shared" si="9"/>
        <v>0</v>
      </c>
      <c r="J46" s="113">
        <v>5000</v>
      </c>
      <c r="K46" s="117">
        <f t="shared" si="4"/>
        <v>0</v>
      </c>
      <c r="L46" s="117">
        <f t="shared" si="5"/>
        <v>5000</v>
      </c>
    </row>
    <row r="47" spans="1:12" x14ac:dyDescent="0.15">
      <c r="A47" s="33">
        <v>43</v>
      </c>
      <c r="B47" s="100" t="s">
        <v>297</v>
      </c>
      <c r="C47" s="105">
        <v>500</v>
      </c>
      <c r="D47" s="105">
        <f>450000/C47</f>
        <v>900</v>
      </c>
      <c r="E47" s="29">
        <v>2000</v>
      </c>
      <c r="F47" s="105">
        <f t="shared" si="10"/>
        <v>1100</v>
      </c>
      <c r="G47" s="105">
        <f t="shared" si="11"/>
        <v>550000</v>
      </c>
      <c r="H47" s="29"/>
      <c r="I47" s="30">
        <f t="shared" si="9"/>
        <v>0</v>
      </c>
      <c r="J47" s="113">
        <v>1500</v>
      </c>
      <c r="K47" s="117">
        <f t="shared" si="4"/>
        <v>0</v>
      </c>
      <c r="L47" s="117">
        <f t="shared" si="5"/>
        <v>1500</v>
      </c>
    </row>
    <row r="48" spans="1:12" x14ac:dyDescent="0.15">
      <c r="A48" s="33">
        <v>44</v>
      </c>
      <c r="B48" s="100" t="s">
        <v>298</v>
      </c>
      <c r="C48" s="105">
        <v>2000</v>
      </c>
      <c r="D48" s="105">
        <f>460000/C48</f>
        <v>230</v>
      </c>
      <c r="E48" s="29">
        <v>500</v>
      </c>
      <c r="F48" s="105">
        <f t="shared" si="10"/>
        <v>270</v>
      </c>
      <c r="G48" s="105">
        <f t="shared" si="11"/>
        <v>540000</v>
      </c>
      <c r="H48" s="29"/>
      <c r="I48" s="30">
        <f t="shared" si="9"/>
        <v>0</v>
      </c>
      <c r="J48" s="113">
        <v>350</v>
      </c>
      <c r="K48" s="117">
        <f t="shared" si="4"/>
        <v>0</v>
      </c>
      <c r="L48" s="117">
        <f t="shared" si="5"/>
        <v>350</v>
      </c>
    </row>
    <row r="49" spans="1:12" x14ac:dyDescent="0.15">
      <c r="A49" s="33">
        <v>45</v>
      </c>
      <c r="B49" s="100" t="s">
        <v>299</v>
      </c>
      <c r="C49" s="105">
        <v>2000</v>
      </c>
      <c r="D49" s="105">
        <f>320000/C49</f>
        <v>160</v>
      </c>
      <c r="E49" s="29">
        <v>250</v>
      </c>
      <c r="F49" s="105">
        <f t="shared" si="10"/>
        <v>90</v>
      </c>
      <c r="G49" s="105">
        <f t="shared" si="11"/>
        <v>180000</v>
      </c>
      <c r="H49" s="29"/>
      <c r="I49" s="30">
        <f t="shared" si="9"/>
        <v>0</v>
      </c>
      <c r="J49" s="113">
        <v>350</v>
      </c>
      <c r="K49" s="117">
        <f t="shared" si="4"/>
        <v>0</v>
      </c>
      <c r="L49" s="117">
        <f t="shared" si="5"/>
        <v>350</v>
      </c>
    </row>
    <row r="50" spans="1:12" x14ac:dyDescent="0.15">
      <c r="A50" s="33">
        <v>46</v>
      </c>
      <c r="B50" s="100" t="s">
        <v>300</v>
      </c>
      <c r="C50" s="105">
        <v>3000</v>
      </c>
      <c r="D50" s="105">
        <f>320000/C50</f>
        <v>106.66666666666667</v>
      </c>
      <c r="E50" s="29">
        <v>200</v>
      </c>
      <c r="F50" s="105">
        <f t="shared" si="10"/>
        <v>93.333333333333329</v>
      </c>
      <c r="G50" s="105">
        <f t="shared" si="11"/>
        <v>280000</v>
      </c>
      <c r="H50" s="29"/>
      <c r="I50" s="30">
        <f t="shared" si="9"/>
        <v>0</v>
      </c>
      <c r="J50" s="113">
        <v>350</v>
      </c>
      <c r="K50" s="117">
        <f t="shared" si="4"/>
        <v>0</v>
      </c>
      <c r="L50" s="117">
        <f t="shared" si="5"/>
        <v>350</v>
      </c>
    </row>
    <row r="51" spans="1:12" x14ac:dyDescent="0.15">
      <c r="A51" s="33">
        <v>47</v>
      </c>
      <c r="B51" s="100" t="s">
        <v>301</v>
      </c>
      <c r="C51" s="105">
        <v>5000</v>
      </c>
      <c r="D51" s="105">
        <f>245000/C51</f>
        <v>49</v>
      </c>
      <c r="E51" s="29">
        <v>100</v>
      </c>
      <c r="F51" s="105">
        <f t="shared" si="10"/>
        <v>51</v>
      </c>
      <c r="G51" s="105">
        <f t="shared" si="11"/>
        <v>255000</v>
      </c>
      <c r="H51" s="29"/>
      <c r="I51" s="30">
        <f t="shared" si="9"/>
        <v>0</v>
      </c>
      <c r="J51" s="113">
        <v>150</v>
      </c>
      <c r="K51" s="117">
        <f t="shared" si="4"/>
        <v>0</v>
      </c>
      <c r="L51" s="117">
        <f t="shared" si="5"/>
        <v>150</v>
      </c>
    </row>
    <row r="52" spans="1:12" x14ac:dyDescent="0.15">
      <c r="A52" s="33">
        <v>48</v>
      </c>
      <c r="B52" s="100" t="s">
        <v>302</v>
      </c>
      <c r="C52" s="105">
        <v>500</v>
      </c>
      <c r="D52" s="105">
        <f>205000/C52</f>
        <v>410</v>
      </c>
      <c r="E52" s="29">
        <v>650</v>
      </c>
      <c r="F52" s="105">
        <f t="shared" si="10"/>
        <v>240</v>
      </c>
      <c r="G52" s="105">
        <f t="shared" si="11"/>
        <v>120000</v>
      </c>
      <c r="H52" s="29"/>
      <c r="I52" s="30">
        <f t="shared" si="9"/>
        <v>0</v>
      </c>
      <c r="J52" s="113">
        <v>800</v>
      </c>
      <c r="K52" s="117">
        <f t="shared" si="4"/>
        <v>0</v>
      </c>
      <c r="L52" s="117">
        <f t="shared" si="5"/>
        <v>800</v>
      </c>
    </row>
  </sheetData>
  <mergeCells count="2">
    <mergeCell ref="J2:J3"/>
    <mergeCell ref="I2:I3"/>
  </mergeCells>
  <pageMargins left="0.7" right="0.7" top="0.75" bottom="0.75" header="0.3" footer="0.3"/>
  <pageSetup paperSize="9" scale="6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Pricing</vt:lpstr>
      <vt:lpstr>Purchase</vt:lpstr>
      <vt:lpstr>Pricelist</vt:lpstr>
      <vt:lpstr>Accounting</vt:lpstr>
      <vt:lpstr>Purchase!Print_Area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RP TUKAD BADUNG</dc:creator>
  <cp:lastModifiedBy>Pande Wira Andika</cp:lastModifiedBy>
  <cp:lastPrinted>2026-01-21T06:34:00Z</cp:lastPrinted>
  <dcterms:created xsi:type="dcterms:W3CDTF">2025-10-25T06:55:34Z</dcterms:created>
  <dcterms:modified xsi:type="dcterms:W3CDTF">2026-05-12T11:25:49Z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2025-10-23T00:00:00Z</vt:filetime>
  </property>
  <property fmtid="{D5CDD505-2E9C-101B-9397-08002B2CF9AE}" pid="3" name="Creator">
    <vt:lpwstr>Microsoft® Excel® 2019</vt:lpwstr>
  </property>
  <property fmtid="{D5CDD505-2E9C-101B-9397-08002B2CF9AE}" pid="4" name="LastSaved">
    <vt:filetime>2025-10-25T00:00:00Z</vt:filetime>
  </property>
  <property fmtid="{D5CDD505-2E9C-101B-9397-08002B2CF9AE}" pid="5" name="Producer">
    <vt:lpwstr>Microsoft® Excel® 2019</vt:lpwstr>
  </property>
</Properties>
</file>